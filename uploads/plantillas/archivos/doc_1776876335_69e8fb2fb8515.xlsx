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NDC-OTI\Downloads\"/>
    </mc:Choice>
  </mc:AlternateContent>
  <xr:revisionPtr revIDLastSave="0" documentId="13_ncr:1_{C814022D-35F4-482F-B8A4-2FAFB80878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endios Pagos" sheetId="1" r:id="rId1"/>
    <sheet name="A001 - MAÑANA" sheetId="2" r:id="rId2"/>
    <sheet name="A004 - MAÑANA" sheetId="3" r:id="rId3"/>
    <sheet name="A005 - MAÑANA" sheetId="4" r:id="rId4"/>
    <sheet name="A008 - MAÑANA" sheetId="5" r:id="rId5"/>
    <sheet name="A001 - TARDE" sheetId="6" r:id="rId6"/>
    <sheet name="A004 - TARDE" sheetId="7" r:id="rId7"/>
  </sheets>
  <definedNames>
    <definedName name="_xlnm._FilterDatabase" localSheetId="1" hidden="1">'A001 - MAÑANA'!$A$1:$I$53</definedName>
    <definedName name="_xlnm._FilterDatabase" localSheetId="5" hidden="1">'A001 - TARDE'!$A$1:$I$51</definedName>
    <definedName name="_xlnm._FilterDatabase" localSheetId="2" hidden="1">'A004 - MAÑANA'!$A$1:$I$51</definedName>
    <definedName name="_xlnm._FilterDatabase" localSheetId="6" hidden="1">'A004 - TARDE'!$A$1:$I$51</definedName>
    <definedName name="_xlnm._FilterDatabase" localSheetId="3" hidden="1">'A005 - MAÑANA'!$A$1:$I$51</definedName>
    <definedName name="_xlnm._FilterDatabase" localSheetId="4" hidden="1">'A008 - MAÑANA'!$A$1:$I$51</definedName>
    <definedName name="_xlnm._FilterDatabase" localSheetId="0" hidden="1">'Compendios Pagos'!$A$1:$I$298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7" i="1" l="1"/>
  <c r="I298" i="1" s="1"/>
  <c r="J296" i="1"/>
  <c r="J295" i="1"/>
  <c r="J294" i="1"/>
  <c r="J293" i="1"/>
  <c r="J16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4" i="1"/>
  <c r="J5" i="1"/>
  <c r="J6" i="1"/>
  <c r="J7" i="1"/>
  <c r="J8" i="1"/>
  <c r="J9" i="1"/>
  <c r="J10" i="1"/>
  <c r="J11" i="1"/>
  <c r="J12" i="1"/>
  <c r="J13" i="1"/>
  <c r="J14" i="1"/>
  <c r="J15" i="1"/>
  <c r="J17" i="1"/>
  <c r="J18" i="1"/>
  <c r="J19" i="1"/>
  <c r="J20" i="1"/>
  <c r="J21" i="1"/>
  <c r="J3" i="1"/>
</calcChain>
</file>

<file path=xl/sharedStrings.xml><?xml version="1.0" encoding="utf-8"?>
<sst xmlns="http://schemas.openxmlformats.org/spreadsheetml/2006/main" count="4475" uniqueCount="666">
  <si>
    <t>DNI</t>
  </si>
  <si>
    <t>Compendio Ciencias</t>
  </si>
  <si>
    <t>Compendio Humanidades</t>
  </si>
  <si>
    <t>Departamento Nacimiento</t>
  </si>
  <si>
    <t>Provincia Nacimiento</t>
  </si>
  <si>
    <t>Distrito Nacimiento</t>
  </si>
  <si>
    <t>Departamento Actual</t>
  </si>
  <si>
    <t>Provincia Actual</t>
  </si>
  <si>
    <t>Distrito Actual</t>
  </si>
  <si>
    <t>Fecha Nacimiento</t>
  </si>
  <si>
    <t>Genero</t>
  </si>
  <si>
    <t>Regimen Colegio</t>
  </si>
  <si>
    <t>YLLACONZA SAAVEDRA PATRICIA PAMELA</t>
  </si>
  <si>
    <t>AULA 001 MAÑANA</t>
  </si>
  <si>
    <t>Lima</t>
  </si>
  <si>
    <t xml:space="preserve">Cañete </t>
  </si>
  <si>
    <t>San Vicente de Cañete</t>
  </si>
  <si>
    <t>2002-07-26</t>
  </si>
  <si>
    <t>Femenino</t>
  </si>
  <si>
    <t>Estatal</t>
  </si>
  <si>
    <t>AYLLON HERRERA LUZ NICOL</t>
  </si>
  <si>
    <t>Imperial</t>
  </si>
  <si>
    <t>2008-06-01</t>
  </si>
  <si>
    <t>FLORES BASURTO GRACE YADHIRA</t>
  </si>
  <si>
    <t>San Luis</t>
  </si>
  <si>
    <t>2007-11-19</t>
  </si>
  <si>
    <t>PEREZ RAMIREZ JOHAN LEWIS</t>
  </si>
  <si>
    <t>AULA 001 TARDE</t>
  </si>
  <si>
    <t>2007-01-13</t>
  </si>
  <si>
    <t>Masculino</t>
  </si>
  <si>
    <t>ALIAGA CHULLUNCUY ESMERALDA BELINDA</t>
  </si>
  <si>
    <t xml:space="preserve">Yauyos </t>
  </si>
  <si>
    <t>Viñac</t>
  </si>
  <si>
    <t>2008-04-26</t>
  </si>
  <si>
    <t>HUAMAN CASAS MEL ZAMIRA</t>
  </si>
  <si>
    <t>2007-03-07</t>
  </si>
  <si>
    <t>HUAMANI ESPINOZA LIZETH DIARA</t>
  </si>
  <si>
    <t>AULA 005 MAÑANA</t>
  </si>
  <si>
    <t>Cerro Azul</t>
  </si>
  <si>
    <t>2009-02-01</t>
  </si>
  <si>
    <t>GARCIA NUÑEZ ERICK JAHIR</t>
  </si>
  <si>
    <t>Ica</t>
  </si>
  <si>
    <t xml:space="preserve">Chincha </t>
  </si>
  <si>
    <t>Chincha Alta</t>
  </si>
  <si>
    <t>Pueblo Nuevo</t>
  </si>
  <si>
    <t>2008-12-22</t>
  </si>
  <si>
    <t>Particular</t>
  </si>
  <si>
    <t>YUPA CHANCA FIORELA</t>
  </si>
  <si>
    <t>2007-05-06</t>
  </si>
  <si>
    <t>AROTINCO RIVERA JOSUE BENJAMIN</t>
  </si>
  <si>
    <t>2008-09-25</t>
  </si>
  <si>
    <t>MARQUEZ JUDIEL SALVADOR AGUSTIN</t>
  </si>
  <si>
    <t xml:space="preserve">Lima </t>
  </si>
  <si>
    <t>Jesús María</t>
  </si>
  <si>
    <t>2008-11-02</t>
  </si>
  <si>
    <t>VILLANUEVA CANTO SAÚL EFRAIN</t>
  </si>
  <si>
    <t>2008-07-01</t>
  </si>
  <si>
    <t>RODRIGUEZ CACERES OMAR FERNANDO</t>
  </si>
  <si>
    <t>Laraos</t>
  </si>
  <si>
    <t>Nuevo Imperial</t>
  </si>
  <si>
    <t>2006-03-03</t>
  </si>
  <si>
    <t>BUENDIA MENDOZA VERONICA</t>
  </si>
  <si>
    <t>2005-04-17</t>
  </si>
  <si>
    <t>IÑIGUEZ DE LA CRUZ LUANA VICTORIA</t>
  </si>
  <si>
    <t>2008-08-21</t>
  </si>
  <si>
    <t>CAMPUSANO AGUILAR XIMENA MARIA</t>
  </si>
  <si>
    <t>2009-09-18</t>
  </si>
  <si>
    <t>VERA CANO MARIA TERESA</t>
  </si>
  <si>
    <t>Pueblo Libre</t>
  </si>
  <si>
    <t>2009-03-29</t>
  </si>
  <si>
    <t>RAMOS BUSTAMANTE ASHLEY XIMENA</t>
  </si>
  <si>
    <t>AULA 004 MAÑANA</t>
  </si>
  <si>
    <t>2008-03-30</t>
  </si>
  <si>
    <t>VILLA LEVANO KEILA NOEMI</t>
  </si>
  <si>
    <t>Sunampe</t>
  </si>
  <si>
    <t>2008-07-09</t>
  </si>
  <si>
    <t>CHOCCLLO HUAMANI CIELO CELESTE</t>
  </si>
  <si>
    <t>2008-07-30</t>
  </si>
  <si>
    <t>Parroquial</t>
  </si>
  <si>
    <t>MORALES VARGAS GUSTAVO IGNACIO</t>
  </si>
  <si>
    <t>AULA 008 MAÑANA</t>
  </si>
  <si>
    <t>2008-07-31</t>
  </si>
  <si>
    <t>TINTAYO CARDENAS DAWIN JHAN PIERE</t>
  </si>
  <si>
    <t>2009-03-19</t>
  </si>
  <si>
    <t>HUAMANTINCO LIZANA MELISSA BETSABEL</t>
  </si>
  <si>
    <t>1999-07-01</t>
  </si>
  <si>
    <t>NAPAN CAMA KARLA DANIELA LIZBETH</t>
  </si>
  <si>
    <t>Asia</t>
  </si>
  <si>
    <t>2008-04-21</t>
  </si>
  <si>
    <t>AYLLON BARRAGAN JUSTIN STALYN</t>
  </si>
  <si>
    <t>2008-08-31</t>
  </si>
  <si>
    <t>ESQUIVES SAIRE FABRICIO MIGUEL</t>
  </si>
  <si>
    <t>2009-01-22</t>
  </si>
  <si>
    <t>VARGAS LEVANO REYNALDO ANDRÉ</t>
  </si>
  <si>
    <t>2008-06-03</t>
  </si>
  <si>
    <t>YACTAYO QUISPE KIARA ESTEFANY</t>
  </si>
  <si>
    <t>Quilmana</t>
  </si>
  <si>
    <t>2007-08-12</t>
  </si>
  <si>
    <t>AMAT CAPQUEQUI ANGIE DAMARIZ</t>
  </si>
  <si>
    <t>2009-01-30</t>
  </si>
  <si>
    <t>TALAVERA ATENCIO LUIS ENRIQUE</t>
  </si>
  <si>
    <t>2008-11-26</t>
  </si>
  <si>
    <t>CARDENAS ORDOÑEZ RODRIGO ALDO</t>
  </si>
  <si>
    <t>Cacra</t>
  </si>
  <si>
    <t>2009-02-22</t>
  </si>
  <si>
    <t>GUEVARA RODRIGUEZ LUANA SHAMELA</t>
  </si>
  <si>
    <t>2008-09-22</t>
  </si>
  <si>
    <t>SOTO CHUPAYO HÉCTOR OSWALDO</t>
  </si>
  <si>
    <t>2003-12-08</t>
  </si>
  <si>
    <t>CAMPOS CHAMORRO PRIYANKA CECILIA</t>
  </si>
  <si>
    <t>Mala</t>
  </si>
  <si>
    <t>2008-06-22</t>
  </si>
  <si>
    <t>HUAYHUAS  CONDORI MARGOTH IRENE</t>
  </si>
  <si>
    <t>AULA 004 TARDE</t>
  </si>
  <si>
    <t>Apurímac</t>
  </si>
  <si>
    <t>Aymaraes</t>
  </si>
  <si>
    <t>Cotaruse</t>
  </si>
  <si>
    <t>2008-07-26</t>
  </si>
  <si>
    <t>SANTOS SOTIL DANIELA STEFANY</t>
  </si>
  <si>
    <t>2008-12-18</t>
  </si>
  <si>
    <t>LEON OCHARAN GABRIELA NICOLLE</t>
  </si>
  <si>
    <t>2008-04-27</t>
  </si>
  <si>
    <t>DE LA CRUZ CALAGUA ALEJANDRO STEFANO</t>
  </si>
  <si>
    <t>2009-03-06</t>
  </si>
  <si>
    <t>BORJAS MONTES DAYANA ALLIN</t>
  </si>
  <si>
    <t>2007-08-02</t>
  </si>
  <si>
    <t>MARTEL VILCA PATRICK ARIEL</t>
  </si>
  <si>
    <t>Comas</t>
  </si>
  <si>
    <t>2008-10-21</t>
  </si>
  <si>
    <t>VILA MONTALBAN LIZETH ROSMERY</t>
  </si>
  <si>
    <t>2009-05-13</t>
  </si>
  <si>
    <t>AVALOS QUISPE PATRIK JOSE</t>
  </si>
  <si>
    <t>2009-02-10</t>
  </si>
  <si>
    <t>SALDAÑA MANTURANO ORIELLY LIZETH</t>
  </si>
  <si>
    <t>2009-11-10</t>
  </si>
  <si>
    <t>QUISPE CHUMPITAZ JOAN ALEXANDER</t>
  </si>
  <si>
    <t>2009-02-20</t>
  </si>
  <si>
    <t>QUISPE GARCIA KAMILA XIOMARA</t>
  </si>
  <si>
    <t>2008-05-25</t>
  </si>
  <si>
    <t>ORTEGA SEGURA FRIDA ALESSIA</t>
  </si>
  <si>
    <t>2005-05-29</t>
  </si>
  <si>
    <t>RENOJO VELASQUEZ MARIA DEL PILAR</t>
  </si>
  <si>
    <t>2009-01-15</t>
  </si>
  <si>
    <t>CORNEJO MEDINA JAVIER</t>
  </si>
  <si>
    <t>Huancavelica</t>
  </si>
  <si>
    <t>2008-06-12</t>
  </si>
  <si>
    <t>GAMBOA QUISPE GIANFRANCO</t>
  </si>
  <si>
    <t>2008-04-12</t>
  </si>
  <si>
    <t xml:space="preserve">CONDORI GONZALES NAHOMI </t>
  </si>
  <si>
    <t>Ucayali</t>
  </si>
  <si>
    <t xml:space="preserve">Coronel Portillo </t>
  </si>
  <si>
    <t>Manantay</t>
  </si>
  <si>
    <t>2008-04-22</t>
  </si>
  <si>
    <t>BALDEON RAMON ANTONY GEOVANI</t>
  </si>
  <si>
    <t>2003-11-18</t>
  </si>
  <si>
    <t>RAMOS SANTIAGO GRISEL JHASURY</t>
  </si>
  <si>
    <t>2008-08-08</t>
  </si>
  <si>
    <t>CCOSCCO LOPEZ MIRIAN KARINA</t>
  </si>
  <si>
    <t>Chilca</t>
  </si>
  <si>
    <t>2009-03-13</t>
  </si>
  <si>
    <t>PAYEHUANCA ENRIQUEZ BRAYAN ALEXANDER</t>
  </si>
  <si>
    <t>Arequipa</t>
  </si>
  <si>
    <t>Sachaca</t>
  </si>
  <si>
    <t>2007-12-05</t>
  </si>
  <si>
    <t>ORIHUELA  ARIAS MARICIELO MEDALIT</t>
  </si>
  <si>
    <t>2007-06-12</t>
  </si>
  <si>
    <t>RAMIREZ RONDON OBETH ALEXANDER</t>
  </si>
  <si>
    <t>2009-01-02</t>
  </si>
  <si>
    <t>RODRIGUEZ VILA MARIA DEL PILAR</t>
  </si>
  <si>
    <t>Zúñiga</t>
  </si>
  <si>
    <t>2008-06-24</t>
  </si>
  <si>
    <t>ROMERO VERA ANTHONY SANTIAGO</t>
  </si>
  <si>
    <t>2008-06-29</t>
  </si>
  <si>
    <t>ESCATE SALAS YANELLY NATALYA</t>
  </si>
  <si>
    <t>2008-06-06</t>
  </si>
  <si>
    <t>RUIZ FERNÁNDEZ VALERIA STACY</t>
  </si>
  <si>
    <t>2006-06-25</t>
  </si>
  <si>
    <t>SOLIS FLORIAN IVANNA KILLARI</t>
  </si>
  <si>
    <t>2008-11-07</t>
  </si>
  <si>
    <t>MELGAREJO GUTIERREZ EDUARDO RUBEN</t>
  </si>
  <si>
    <t>Catahuasi</t>
  </si>
  <si>
    <t>2009-02-08</t>
  </si>
  <si>
    <t>LUYO PACHAS MARIA DEL CARMEN</t>
  </si>
  <si>
    <t>2007-08-06</t>
  </si>
  <si>
    <t>QUILCARO QUISPE TAYWA JORGE</t>
  </si>
  <si>
    <t>2008-08-03</t>
  </si>
  <si>
    <t>TITO MANSILLA ABRAHAN LINCOL</t>
  </si>
  <si>
    <t>2008-10-23</t>
  </si>
  <si>
    <t>RODRIGUEZ VALERIO REBECA ALEJANDRA</t>
  </si>
  <si>
    <t>008386384</t>
  </si>
  <si>
    <t>Venezuela</t>
  </si>
  <si>
    <t>2008-05-15</t>
  </si>
  <si>
    <t>CABANA VILLALVA JESUS DANIEL ALFREDO</t>
  </si>
  <si>
    <t>2008-07-22</t>
  </si>
  <si>
    <t>RAMOS HUAYTALLA EHUD TZU</t>
  </si>
  <si>
    <t>Ayacucho</t>
  </si>
  <si>
    <t>Huamanga</t>
  </si>
  <si>
    <t>San Juan Bautista</t>
  </si>
  <si>
    <t>2008-01-27</t>
  </si>
  <si>
    <t>BALBOA RODRIGUEZ DIEGO ALEJANDRO</t>
  </si>
  <si>
    <t>2009-07-13</t>
  </si>
  <si>
    <t>ROMERO GAMBOA JOSE ANTONIO</t>
  </si>
  <si>
    <t>2009-03-10</t>
  </si>
  <si>
    <t>OROZCO QUISPE HEYDI JHONMÍ</t>
  </si>
  <si>
    <t>Huanta</t>
  </si>
  <si>
    <t>Llochegua</t>
  </si>
  <si>
    <t>2008-07-17</t>
  </si>
  <si>
    <t>YAURICASA CACERES MAX ANDERSSON</t>
  </si>
  <si>
    <t>2008-12-06</t>
  </si>
  <si>
    <t>MONDARGO SANCHEZ RUTH DIANA</t>
  </si>
  <si>
    <t>2008-07-02</t>
  </si>
  <si>
    <t>ESCOBAR TAXA JHOAN ANDERSON</t>
  </si>
  <si>
    <t>2009-02-14</t>
  </si>
  <si>
    <t xml:space="preserve">SALDAÑA  LÓPEZ  JUAN CARLOS </t>
  </si>
  <si>
    <t>2009-01-05</t>
  </si>
  <si>
    <t>RUIZ MENDOZA ALEXIS ENRIQUE</t>
  </si>
  <si>
    <t>2009-02-17</t>
  </si>
  <si>
    <t>CUPE PEREZ LUIS FERNANDO</t>
  </si>
  <si>
    <t>2009-02-11</t>
  </si>
  <si>
    <t>GABINO MEZA ALEXANDER OMAR</t>
  </si>
  <si>
    <t>2008-10-05</t>
  </si>
  <si>
    <t>CUELLAR  HUAMANTINCO ANDERSON DAVID</t>
  </si>
  <si>
    <t>2009-02-18</t>
  </si>
  <si>
    <t>CONDE PEÑA MAURICIO MANUEL</t>
  </si>
  <si>
    <t>2008-09-19</t>
  </si>
  <si>
    <t>VARGAS MENDOZA FRAHAN DAVID</t>
  </si>
  <si>
    <t>San Juan de Miraflores</t>
  </si>
  <si>
    <t>2007-05-05</t>
  </si>
  <si>
    <t>TUEROS SACCATOMA KAMILA SOLEDAD</t>
  </si>
  <si>
    <t>2009-03-28</t>
  </si>
  <si>
    <t>BORJA SALVA DIEGO YANDEL</t>
  </si>
  <si>
    <t>2008-04-11</t>
  </si>
  <si>
    <t>SANTOS SANCHEZ MARIA DE LOS ANGELES</t>
  </si>
  <si>
    <t>2008-06-04</t>
  </si>
  <si>
    <t>SAÑEZ POSTILLON JHERALDINA</t>
  </si>
  <si>
    <t>2007-03-10</t>
  </si>
  <si>
    <t>HUARI ALBERTO HECTOR GABRIEL</t>
  </si>
  <si>
    <t>MESARES ALVARADO DEYVIS ADRIAN</t>
  </si>
  <si>
    <t>2008-05-31</t>
  </si>
  <si>
    <t>TIRADO YACTAYO CHRISTOPHER MIGUEL</t>
  </si>
  <si>
    <t>Breña</t>
  </si>
  <si>
    <t>1998-10-09</t>
  </si>
  <si>
    <t>MAYTA QUISPE DANILO STYVEN</t>
  </si>
  <si>
    <t>2008-04-09</t>
  </si>
  <si>
    <t>FLORES GUTIERREZ  KEVIN SMITH</t>
  </si>
  <si>
    <t>2008-06-28</t>
  </si>
  <si>
    <t>MARROQUIN  FLORIAN UZIEL ADALBERT</t>
  </si>
  <si>
    <t>SANCHEZ PRIETO JUNIOR JOSE</t>
  </si>
  <si>
    <t>2008-05-07</t>
  </si>
  <si>
    <t>BARRIOS RAMOS GRAYSE YAMILET</t>
  </si>
  <si>
    <t>PEÑA YANGALI SEBASTIAN ALFONSO</t>
  </si>
  <si>
    <t>2008-03-27</t>
  </si>
  <si>
    <t>LUCIANI LÁZARO STEVEN GERALD</t>
  </si>
  <si>
    <t>Yauyos</t>
  </si>
  <si>
    <t>2008-09-04</t>
  </si>
  <si>
    <t>RAMIREZ CHANCOS ANJALY CHARLOTTE</t>
  </si>
  <si>
    <t>2007-12-19</t>
  </si>
  <si>
    <t>YALLE  RONDON JORGE MOISES</t>
  </si>
  <si>
    <t>San Pedro de Huacarpana</t>
  </si>
  <si>
    <t>2008-04-29</t>
  </si>
  <si>
    <t>CUENCA ALTAMIRANO SEBASTIAN EDGARDO</t>
  </si>
  <si>
    <t>CARBONERO MOLLEHUARA KARLA PATRICIA</t>
  </si>
  <si>
    <t>AVALOS CAMA ALESSANDRA</t>
  </si>
  <si>
    <t>2009-01-21</t>
  </si>
  <si>
    <t>JIMENEZ GARCIA EDWIN GULIANO</t>
  </si>
  <si>
    <t>2008-01-23</t>
  </si>
  <si>
    <t>BRAVO SORIANO RAPHAELA FERNANDA</t>
  </si>
  <si>
    <t>2009-01-09</t>
  </si>
  <si>
    <t>TORRES CARRION DEYVIS EDUARDO</t>
  </si>
  <si>
    <t>2008-11-16</t>
  </si>
  <si>
    <t>VILELA SALVADOR JIMENA KRISTAL</t>
  </si>
  <si>
    <t>2008-12-23</t>
  </si>
  <si>
    <t>MENDOZA WARD MARIA ALEJANDRA</t>
  </si>
  <si>
    <t>2007-05-04</t>
  </si>
  <si>
    <t>SALHUANA VALLEJOS HEILY ANGELY</t>
  </si>
  <si>
    <t>2008-06-27</t>
  </si>
  <si>
    <t xml:space="preserve">LEVANO SANCHEZ  PIERO YANDEL ALFONSO </t>
  </si>
  <si>
    <t>2007-03-28</t>
  </si>
  <si>
    <t>CORPUS PARDO MIJAEL MATHIAS</t>
  </si>
  <si>
    <t>2008-07-07</t>
  </si>
  <si>
    <t>CHAVARRY ESCALANTE JHULYO JESUINNI</t>
  </si>
  <si>
    <t>2009-02-25</t>
  </si>
  <si>
    <t>LLACCHUA TRANCA WILMER FEDERICO</t>
  </si>
  <si>
    <t>2008-09-16</t>
  </si>
  <si>
    <t>JURO CACERES KAREN MELISA</t>
  </si>
  <si>
    <t>2002-12-04</t>
  </si>
  <si>
    <t>QUISPE LABAN JAHIR ALEXANDER</t>
  </si>
  <si>
    <t>2008-10-30</t>
  </si>
  <si>
    <t>ARTICA POLO COLÍN ROSALINDA</t>
  </si>
  <si>
    <t>2008-08-30</t>
  </si>
  <si>
    <t>CAMPOS QUISPE FATIMA PATRICIA</t>
  </si>
  <si>
    <t>2008-09-05</t>
  </si>
  <si>
    <t>CONTRERAS APARI ALONSO ARMANDO</t>
  </si>
  <si>
    <t>TAPAHUASCO CALAGUA CESIA ATALIA</t>
  </si>
  <si>
    <t>2008-05-04</t>
  </si>
  <si>
    <t>CARDENAS VARILLAS DAYANA KIARA</t>
  </si>
  <si>
    <t>2008-06-15</t>
  </si>
  <si>
    <t>CLEMENTE SANDOVAL ANGELES HILLARY</t>
  </si>
  <si>
    <t>2008-06-30</t>
  </si>
  <si>
    <t>BENAVENTE TASAYCO RICARDO DAVID</t>
  </si>
  <si>
    <t>2009-03-14</t>
  </si>
  <si>
    <t>PEÑA MAYTA  JEFFERSON ALESSANDRO</t>
  </si>
  <si>
    <t>2006-06-19</t>
  </si>
  <si>
    <t>TITO PALOMINO NICOLE NAYELY</t>
  </si>
  <si>
    <t>2003-02-21</t>
  </si>
  <si>
    <t>MANRIQUE PERALES ISABEL SARITA</t>
  </si>
  <si>
    <t>2008-12-19</t>
  </si>
  <si>
    <t>HUARCAYA  CONDORI XIMENA GABRIELA</t>
  </si>
  <si>
    <t>CHILET DE LA CRUZ LUIS ALBERTO</t>
  </si>
  <si>
    <t xml:space="preserve">Barranca </t>
  </si>
  <si>
    <t>Barranca</t>
  </si>
  <si>
    <t>2008-07-03</t>
  </si>
  <si>
    <t>CHAVEZ PACHAS FERNANDA CAMILA</t>
  </si>
  <si>
    <t>2008-12-08</t>
  </si>
  <si>
    <t>YANGALI GUTIÉRREZ CELESSTE KRISTEL</t>
  </si>
  <si>
    <t>2008-10-24</t>
  </si>
  <si>
    <t>QUISPE VILLALOBOS FERNANDO MIGUEL</t>
  </si>
  <si>
    <t>2008-09-12</t>
  </si>
  <si>
    <t>CAMARENA TACSA ANGELICA JANETH</t>
  </si>
  <si>
    <t>2010-03-28</t>
  </si>
  <si>
    <t>YAURI NOLBERTO CARLOS ENRIQUE</t>
  </si>
  <si>
    <t>2008-09-15</t>
  </si>
  <si>
    <t>TITO NAVARRO AKEMI YAMILE</t>
  </si>
  <si>
    <t>2008-07-11</t>
  </si>
  <si>
    <t>APOLINARIO SUAREZ DANIELA NICOL</t>
  </si>
  <si>
    <t>DIAZ QUISPE MATHIAS GONZALO</t>
  </si>
  <si>
    <t>2008-05-19</t>
  </si>
  <si>
    <t>GUTIERREZ ROJAS MILAGROS ANDREA</t>
  </si>
  <si>
    <t>2006-01-22</t>
  </si>
  <si>
    <t>INGA BRIOSO PAUL ROBELINO</t>
  </si>
  <si>
    <t>Huánuco</t>
  </si>
  <si>
    <t>Dos de Mayo</t>
  </si>
  <si>
    <t>Yanas</t>
  </si>
  <si>
    <t>CCOYCA CULLANCO JOSUE JHONATAN</t>
  </si>
  <si>
    <t>2008-10-02</t>
  </si>
  <si>
    <t>HUAMAN MACHADO NATALIE CORINA</t>
  </si>
  <si>
    <t>CHIOK JURADO CRISTOPHER ALFRED</t>
  </si>
  <si>
    <t>2008-07-29</t>
  </si>
  <si>
    <t>LOAYZA CHUQUISPUMA FABIO EDUARDO</t>
  </si>
  <si>
    <t>2008-11-30</t>
  </si>
  <si>
    <t>QUISPE QUINTANILLA MARCELO NICOLAZ MARK</t>
  </si>
  <si>
    <t>2008-06-08</t>
  </si>
  <si>
    <t>CIRIACO VILLAR GABRIEL OSCAR</t>
  </si>
  <si>
    <t>2008-10-18</t>
  </si>
  <si>
    <t>MENESES AGUADO JUAN RODRIGO</t>
  </si>
  <si>
    <t>2008-12-30</t>
  </si>
  <si>
    <t>DE LA CRUZ AGUADO LUIS ABEL</t>
  </si>
  <si>
    <t>2008-03-03</t>
  </si>
  <si>
    <t>QUISPE DIAZ IRLINDA</t>
  </si>
  <si>
    <t>Cusco</t>
  </si>
  <si>
    <t>Canas</t>
  </si>
  <si>
    <t>Yanaoca</t>
  </si>
  <si>
    <t>2007-09-12</t>
  </si>
  <si>
    <t>ZAPANA RODRIGUEZ LUIS ANGEL</t>
  </si>
  <si>
    <t>2009-07-08</t>
  </si>
  <si>
    <t>VEGA BELLEZA ROSMERY FERNANDA</t>
  </si>
  <si>
    <t>Coayllo</t>
  </si>
  <si>
    <t>2007-05-30</t>
  </si>
  <si>
    <t>CHAMORRO CAHUANA ANA LUZ</t>
  </si>
  <si>
    <t>TTURUCO BOLAÑOS ARNY YOMAR</t>
  </si>
  <si>
    <t>Alto Laran</t>
  </si>
  <si>
    <t>2008-07-15</t>
  </si>
  <si>
    <t>QUINTEROS GODOY YASURI NOEMY</t>
  </si>
  <si>
    <t>2007-03-24</t>
  </si>
  <si>
    <t>RAMIREZ HUAMANI VICTOR MARCELO</t>
  </si>
  <si>
    <t>2007-11-21</t>
  </si>
  <si>
    <t>CHANG GUTIERREZ ADRIEL JAVIER</t>
  </si>
  <si>
    <t>CARBONEL  CASAS GERSON AARON</t>
  </si>
  <si>
    <t>2005-06-24</t>
  </si>
  <si>
    <t>AYLLON LUYO ANDY FABIAN</t>
  </si>
  <si>
    <t>GAVILAN  PUCHO ELIZABET LUZ</t>
  </si>
  <si>
    <t>MOLLEDA LUYO JUAN ALEXIS</t>
  </si>
  <si>
    <t>2005-06-25</t>
  </si>
  <si>
    <t>CERVANTES SANCHEZ DAYRON STEVEN</t>
  </si>
  <si>
    <t>2008-11-06</t>
  </si>
  <si>
    <t>GOMEZ ROJAS YASUMY NICOLE</t>
  </si>
  <si>
    <t>San Juan de Lurigancho</t>
  </si>
  <si>
    <t>2007-04-24</t>
  </si>
  <si>
    <t>QUISPE GUTIERREZ EMELYN NOELIA</t>
  </si>
  <si>
    <t>2008-04-25</t>
  </si>
  <si>
    <t>CALDERON TAQUIRI JEAN PAUL</t>
  </si>
  <si>
    <t>2008-02-01</t>
  </si>
  <si>
    <t>AUCCASI LUYO ELVIS ADRIAN</t>
  </si>
  <si>
    <t>2009-03-03</t>
  </si>
  <si>
    <t>LUPUCHE JUAREZ ANAIS RAQUEL</t>
  </si>
  <si>
    <t>2009-01-17</t>
  </si>
  <si>
    <t>PERALTA CCAYAHUALLPA JHOAN CRISTHIAN</t>
  </si>
  <si>
    <t>2006-03-12</t>
  </si>
  <si>
    <t>SALVADOR CAMPOS PATRICK REYK</t>
  </si>
  <si>
    <t>2009-01-06</t>
  </si>
  <si>
    <t>DE LA CRUZ AVALOS ADRIAN HAZIEL</t>
  </si>
  <si>
    <t>Grocio Prado</t>
  </si>
  <si>
    <t>2009-02-12</t>
  </si>
  <si>
    <t>CCASA QUISPE KENY DANIEL</t>
  </si>
  <si>
    <t>2007-08-15</t>
  </si>
  <si>
    <t>YACTAYO SANCHEZ MANUEL DIDIHER</t>
  </si>
  <si>
    <t>2007-11-09</t>
  </si>
  <si>
    <t>ARCIBIA VICENTE NAYELI MARFIL</t>
  </si>
  <si>
    <t>2008-04-17</t>
  </si>
  <si>
    <t>CUENCA QUICHCA GABRIEL JHON</t>
  </si>
  <si>
    <t>2009-01-04</t>
  </si>
  <si>
    <t>SILVA GUERRA FLAVIO MATEO</t>
  </si>
  <si>
    <t>2005-06-28</t>
  </si>
  <si>
    <t>INJANTE MATEO FATIMA CAMILA</t>
  </si>
  <si>
    <t>SÁNCHEZ QUEVEDO PAOLO GABRIEL</t>
  </si>
  <si>
    <t>Áncash</t>
  </si>
  <si>
    <t>Santa</t>
  </si>
  <si>
    <t>Chimbote</t>
  </si>
  <si>
    <t>2009-01-01</t>
  </si>
  <si>
    <t>NOA CASTILLO KIMBERLY MAYELE</t>
  </si>
  <si>
    <t>SANCHEZ EULOGIO JORGE LUIS</t>
  </si>
  <si>
    <t>2008-11-13</t>
  </si>
  <si>
    <t>BARRIOS  LAPA FERNANDA</t>
  </si>
  <si>
    <t>MENESES CULLANCO MARIA LIZ</t>
  </si>
  <si>
    <t>2006-08-28</t>
  </si>
  <si>
    <t>BORDA SANCHEZ NURIA ALEJANDRA</t>
  </si>
  <si>
    <t>2008-11-23</t>
  </si>
  <si>
    <t>CHUQUISPUMA ZAMUDIO XIMENA TAIZ</t>
  </si>
  <si>
    <t>QUISPE LLIUYA NELSY BELINDA</t>
  </si>
  <si>
    <t>Azángaro</t>
  </si>
  <si>
    <t>2008-11-27</t>
  </si>
  <si>
    <t>RODRIGUEZ  QUISPE CARMEN LUCIA</t>
  </si>
  <si>
    <t>Junín</t>
  </si>
  <si>
    <t xml:space="preserve">Satipo </t>
  </si>
  <si>
    <t>Satipo</t>
  </si>
  <si>
    <t>2009-02-15</t>
  </si>
  <si>
    <t>RAMIREZ YUCRA ESTEISIN ALENDRA</t>
  </si>
  <si>
    <t>2008-10-06</t>
  </si>
  <si>
    <t>PORTOCARRERO VICENTE GIANPIERE ALEXANDER</t>
  </si>
  <si>
    <t>2009-02-03</t>
  </si>
  <si>
    <t>MEDRANO AURIS JESUS LIZANDRO</t>
  </si>
  <si>
    <t>2008-01-28</t>
  </si>
  <si>
    <t>VALERIANO RAMIREZ GEAN POOL FABIAN</t>
  </si>
  <si>
    <t>VERA  DE LA CRUZ ARIANA DAYAN NICCOL</t>
  </si>
  <si>
    <t>2009-02-23</t>
  </si>
  <si>
    <t>ISLA SAUÑE ALISSON NAZIRA</t>
  </si>
  <si>
    <t>PEÑA FLORIAN ANA GERALDINE</t>
  </si>
  <si>
    <t>2004-12-17</t>
  </si>
  <si>
    <t>QUISPE CARHUATOCTO NAEL FELICITA</t>
  </si>
  <si>
    <t>2009-01-16</t>
  </si>
  <si>
    <t>GUERRA ROJAS DARWIN GERALD</t>
  </si>
  <si>
    <t>CUADROS MEDINA LENNY KORIANCA</t>
  </si>
  <si>
    <t xml:space="preserve">CRUZ  VALERIO XIOMARA </t>
  </si>
  <si>
    <t>2008-08-22</t>
  </si>
  <si>
    <t>GARCIA PORTUGUEZ YARIMEN LUCERO</t>
  </si>
  <si>
    <t>2008-06-17</t>
  </si>
  <si>
    <t>DIAZ SIAS GLENDY MILEY</t>
  </si>
  <si>
    <t>Loreto</t>
  </si>
  <si>
    <t xml:space="preserve">Maynas </t>
  </si>
  <si>
    <t>Iquitos</t>
  </si>
  <si>
    <t>2008-12-01</t>
  </si>
  <si>
    <t>BORDA SANCHEZ EDUARDO LUIS</t>
  </si>
  <si>
    <t>2005-01-10</t>
  </si>
  <si>
    <t>URCIA ORTIZ LIONEL WILLIAMS</t>
  </si>
  <si>
    <t>La Libertad</t>
  </si>
  <si>
    <t xml:space="preserve">Trujillo </t>
  </si>
  <si>
    <t>Trujillo</t>
  </si>
  <si>
    <t>LUJAN LUJAN GLORIA</t>
  </si>
  <si>
    <t>Magdalena del Mar</t>
  </si>
  <si>
    <t>2005-10-03</t>
  </si>
  <si>
    <t>YAYA MANRIQUE RODRIGO ALESSANDRO</t>
  </si>
  <si>
    <t>2008-07-24</t>
  </si>
  <si>
    <t>SANCHEZ PUMA JAIR DAYRON</t>
  </si>
  <si>
    <t>2008-01-11</t>
  </si>
  <si>
    <t>QUISPE MADRID TATHIANA CRISTEL</t>
  </si>
  <si>
    <t>CARDENAS ALIAGA GRACIELITA DENISSE</t>
  </si>
  <si>
    <t>COAGUILA VELA SEBASTIAN LEANDRO</t>
  </si>
  <si>
    <t>RIOS FUENTES ARIANA ANAIR</t>
  </si>
  <si>
    <t>2009-03-21</t>
  </si>
  <si>
    <t>GUZMAN CARDENAS LUCIANA MASIEL</t>
  </si>
  <si>
    <t>2008-12-29</t>
  </si>
  <si>
    <t>JARA ROMO NEHEMIAS MAXIMO</t>
  </si>
  <si>
    <t>REYES CASAS ANDREA SUSANA</t>
  </si>
  <si>
    <t>2008-01-21</t>
  </si>
  <si>
    <t>PEREZ HUAMAN LILIAN MERCED</t>
  </si>
  <si>
    <t>Víctor Fajardo</t>
  </si>
  <si>
    <t>Huancapi</t>
  </si>
  <si>
    <t>2008-05-22</t>
  </si>
  <si>
    <t>BARRANTES HUAPAYA JACKELINE ZABDY KARELY</t>
  </si>
  <si>
    <t>2009-03-17</t>
  </si>
  <si>
    <t>CASTILLON PALOMINO JOEL ROGELIO</t>
  </si>
  <si>
    <t>2007-04-06</t>
  </si>
  <si>
    <t>RIVADENEYRA QUISPE JACKSON CHAYANNE</t>
  </si>
  <si>
    <t>Lunahuana</t>
  </si>
  <si>
    <t>2008-06-21</t>
  </si>
  <si>
    <t>GODOY CORTEZ HAROLD STEPHANO</t>
  </si>
  <si>
    <t>2009-10-05</t>
  </si>
  <si>
    <t>GARCIA GARCIA IAN ALESSANDRO</t>
  </si>
  <si>
    <t>2009-08-03</t>
  </si>
  <si>
    <t>MENDIETA CARDENAS LUCAS ANDREI</t>
  </si>
  <si>
    <t>2009-07-09</t>
  </si>
  <si>
    <t>GUTIERREZ SANTOS FABRICIO ANDRES</t>
  </si>
  <si>
    <t>2009-10-02</t>
  </si>
  <si>
    <t>QUISPE MANRIQUE ANNDY REYDMOND</t>
  </si>
  <si>
    <t>AYLLAUCAN SALVADOR ELIOARIEL GAEEL</t>
  </si>
  <si>
    <t>2007-10-04</t>
  </si>
  <si>
    <t>GARCIA GARCIA YOSANIRA DEL PILAR</t>
  </si>
  <si>
    <t>Lurigancho</t>
  </si>
  <si>
    <t>2007-10-10</t>
  </si>
  <si>
    <t>RINCON CAMA JOAQUIN DAVID</t>
  </si>
  <si>
    <t>2009-08-25</t>
  </si>
  <si>
    <t>ZAVALA AGUADO AYMAR ZULEYKA</t>
  </si>
  <si>
    <t>2008-04-08</t>
  </si>
  <si>
    <t>PORTA PEREZ JOSE</t>
  </si>
  <si>
    <t>1996-03-13</t>
  </si>
  <si>
    <t>TAYA ESCATE FRANCIS GABRIEL</t>
  </si>
  <si>
    <t>2009-12-18</t>
  </si>
  <si>
    <t>PACHECO ROMERO RIGEL RENIOR</t>
  </si>
  <si>
    <t>2002-11-15</t>
  </si>
  <si>
    <t>PARADO SOTO DELSY ARIANA</t>
  </si>
  <si>
    <t>2008-06-11</t>
  </si>
  <si>
    <t>RODRIGUEZ DEL AGUILA MARTÍN JAIR</t>
  </si>
  <si>
    <t>Belén</t>
  </si>
  <si>
    <t>2009-12-26</t>
  </si>
  <si>
    <t>SANTOS PEREZ GRYCEL ALISSON</t>
  </si>
  <si>
    <t>2008-07-16</t>
  </si>
  <si>
    <t>MORE CHUQUISPUMA OMAR SALVADOR</t>
  </si>
  <si>
    <t>Ate</t>
  </si>
  <si>
    <t>QUISPE DE LA CRUZ PAOLO ANDERSON</t>
  </si>
  <si>
    <t>2008-11-08</t>
  </si>
  <si>
    <t>MAÑUICO FLORES ASHLY NICOL</t>
  </si>
  <si>
    <t>2008-12-16</t>
  </si>
  <si>
    <t>CAMPOS  AGUADO KEVIN SMITH</t>
  </si>
  <si>
    <t>2006-02-16</t>
  </si>
  <si>
    <t>MENDOZA FLORES RAUL JHAIR</t>
  </si>
  <si>
    <t>2010-02-03</t>
  </si>
  <si>
    <t>RINCON CAMA ARIEL DAVID</t>
  </si>
  <si>
    <t>DAGA LUYO ROGER DIEGO</t>
  </si>
  <si>
    <t>Allauca</t>
  </si>
  <si>
    <t>2009-07-26</t>
  </si>
  <si>
    <t>CHARAJA ROMAN JUAN DE DIOS</t>
  </si>
  <si>
    <t>Tacna</t>
  </si>
  <si>
    <t xml:space="preserve">Tacna </t>
  </si>
  <si>
    <t>2009-04-16</t>
  </si>
  <si>
    <t>SALCEDO PARRA BERNNY JOSEMARIA THOMAS</t>
  </si>
  <si>
    <t>2010-03-20</t>
  </si>
  <si>
    <t>YACTAYO ALCANTARA HAROLD LUIS DAVID</t>
  </si>
  <si>
    <t>2008-06-14</t>
  </si>
  <si>
    <t>EPIFANIA JUAREZ FABRIZZIO JHESU</t>
  </si>
  <si>
    <t>2010-03-24</t>
  </si>
  <si>
    <t>LEVANO CABRERA FAVIO SEBASTIAN</t>
  </si>
  <si>
    <t>LUYO QUISPE ADERLY SAMIR</t>
  </si>
  <si>
    <t>2008-11-12</t>
  </si>
  <si>
    <t>PAUCAR LOAYZA ALVARO CLEVER</t>
  </si>
  <si>
    <t>2007-05-22</t>
  </si>
  <si>
    <t>APOLINARIO CAMA JHOAO EMILIO</t>
  </si>
  <si>
    <t>2008-09-10</t>
  </si>
  <si>
    <t>NINASQUE LAPA FÁTIMA NICOLE</t>
  </si>
  <si>
    <t>2006-06-06</t>
  </si>
  <si>
    <t>HERNANDEZ SOCANTAIPE RAQUEL ABIGAIL</t>
  </si>
  <si>
    <t>MENESES HUAMANÑAHUI CINDY JANETH</t>
  </si>
  <si>
    <t>CATUNTA QUISPE JOSE JULIAN</t>
  </si>
  <si>
    <t>2006-10-21</t>
  </si>
  <si>
    <t>FLORES PAYANO ANGEL FABIAN</t>
  </si>
  <si>
    <t>CARHUAZ CAPCHA MAYRA MIRELLA</t>
  </si>
  <si>
    <t>1998-08-22</t>
  </si>
  <si>
    <t>CHEVEZ CERVANTES MATIAS JAVIER</t>
  </si>
  <si>
    <t>Nuevo Chimbote</t>
  </si>
  <si>
    <t>2008-10-14</t>
  </si>
  <si>
    <t>LARREA BLAS MEGAN DARIANA</t>
  </si>
  <si>
    <t>2008-01-22</t>
  </si>
  <si>
    <t>CAMPOS RIVAS JEAN PIERO</t>
  </si>
  <si>
    <t>2006-09-05</t>
  </si>
  <si>
    <t>CAÑAS AYALA SERGIO ALDAIR</t>
  </si>
  <si>
    <t>2005-11-23</t>
  </si>
  <si>
    <t>TORRES ZUMAETA HELLEN ESTEFFANIA</t>
  </si>
  <si>
    <t>2004-08-30</t>
  </si>
  <si>
    <t>MENDOZA RAMOS BRINNER RAUL</t>
  </si>
  <si>
    <t>2006-07-05</t>
  </si>
  <si>
    <t>DE LA CRUZ PALOMINO LILYAN</t>
  </si>
  <si>
    <t>2008-08-23</t>
  </si>
  <si>
    <t>TORRES CASTRO  MARCO AURELIO</t>
  </si>
  <si>
    <t>FERREYRA YACTAYO JESHUA MATHIAS</t>
  </si>
  <si>
    <t>2009-03-08</t>
  </si>
  <si>
    <t>CARDENAS GUTIERREZ JHEIMY DARWIN</t>
  </si>
  <si>
    <t>TAQUIRE LUYO CAMILA DE LOS ANGELES</t>
  </si>
  <si>
    <t>2008-03-05</t>
  </si>
  <si>
    <t>IBARRA SOTO JUANA CRISTINA</t>
  </si>
  <si>
    <t>2008-03-15</t>
  </si>
  <si>
    <t>HUAMAN LEVANO JOSEMARIA SUMNER</t>
  </si>
  <si>
    <t>2005-07-20</t>
  </si>
  <si>
    <t>ARIZAGA BUSTAMANTE GUSTAVO NICOLAS</t>
  </si>
  <si>
    <t>2008-12-21</t>
  </si>
  <si>
    <t>RAMOS  PACASI KATHERINE FIORELA</t>
  </si>
  <si>
    <t>2008-03-31</t>
  </si>
  <si>
    <t>GUERRA LAZARO JEFFERSON ALDAIR</t>
  </si>
  <si>
    <t>2009-03-01</t>
  </si>
  <si>
    <t xml:space="preserve">FLORES  QUISPE DANIEL </t>
  </si>
  <si>
    <t>2009-02-16</t>
  </si>
  <si>
    <t>PEREZ ROJAS FABRICIO ALEXANDER CESAR</t>
  </si>
  <si>
    <t>CASTRO DELGADO HAROLD LIONEL</t>
  </si>
  <si>
    <t>2008-05-27</t>
  </si>
  <si>
    <t>CAMA LA MADRID TATIANA FLOR</t>
  </si>
  <si>
    <t>CARHUAS SENDER DANNA LISMAR</t>
  </si>
  <si>
    <t>2009-02-24</t>
  </si>
  <si>
    <t>CHOQUE POMA KEIKO MILAGROS</t>
  </si>
  <si>
    <t>2007-12-28</t>
  </si>
  <si>
    <t>CARHUAMACA MARIUS JOSE</t>
  </si>
  <si>
    <t>2006-05-08</t>
  </si>
  <si>
    <t>ARMAS MENDOZA ESTHER ESMERALDA</t>
  </si>
  <si>
    <t>2008-05-30</t>
  </si>
  <si>
    <t>DOMINGUEZ BENITES LIZETH</t>
  </si>
  <si>
    <t>2008-04-07</t>
  </si>
  <si>
    <t>LAZARO BARRIENTOS ELSA NAOMI</t>
  </si>
  <si>
    <t>AGAPITO BENAVENTE YAZMIN MILAGROS</t>
  </si>
  <si>
    <t>2008-05-13</t>
  </si>
  <si>
    <t>CUZCANO  ESPINOZA NAYURI ELIZABETH</t>
  </si>
  <si>
    <t>2008-12-25</t>
  </si>
  <si>
    <t>GUTIERREZ MARTINEZ MAYRA VANESSA</t>
  </si>
  <si>
    <t>San Antonio</t>
  </si>
  <si>
    <t>QUISPE ASTOCAZA DIANA SARAI</t>
  </si>
  <si>
    <t>2001-09-21</t>
  </si>
  <si>
    <t>QUISPE ASTOCAZA VIVIANA DENISSE</t>
  </si>
  <si>
    <t>2005-12-05</t>
  </si>
  <si>
    <t>MUÑOZ QUISPE FERNANDO ANDRE</t>
  </si>
  <si>
    <t>2005-07-15</t>
  </si>
  <si>
    <t>HUILCA QUISPE ANGELO LUIS</t>
  </si>
  <si>
    <t>2008-01-16</t>
  </si>
  <si>
    <t>CAMINO REAL ELIBER ANTONIO</t>
  </si>
  <si>
    <t>005918080</t>
  </si>
  <si>
    <t>2008-12-17</t>
  </si>
  <si>
    <t>MATOS ENCISO SYD ALLEN</t>
  </si>
  <si>
    <t>2007-07-19</t>
  </si>
  <si>
    <t>GONZALES ESPINOZA MARIANA LUCIA DE LOS ANGELES</t>
  </si>
  <si>
    <t>LOPEZ TOVAR ROSALY MEDALY</t>
  </si>
  <si>
    <t>2008-12-07</t>
  </si>
  <si>
    <t>YATACO  AYALA ESTEBAN FERNANDO</t>
  </si>
  <si>
    <t>El Carmen</t>
  </si>
  <si>
    <t>2009-01-27</t>
  </si>
  <si>
    <t>BUQUEZ PAZ DARIEL FABIANO</t>
  </si>
  <si>
    <t>Villa El Salvador</t>
  </si>
  <si>
    <t>2007-11-07</t>
  </si>
  <si>
    <t>QUINTANILLA ORMEÑO STEVEN JOAO</t>
  </si>
  <si>
    <t>2008-10-22</t>
  </si>
  <si>
    <t>CHUMPITAZ QUISPE VENNS SAMIR ERNESTO</t>
  </si>
  <si>
    <t>2008-07-14</t>
  </si>
  <si>
    <t>GASPAR HUAMANI JHON EMERSON</t>
  </si>
  <si>
    <t>2001-03-26</t>
  </si>
  <si>
    <t>VICENTE QUISPE VICTOR MANUEL ALEJANDRO</t>
  </si>
  <si>
    <t>2009-03-16</t>
  </si>
  <si>
    <t>YALLE QUISPEALAYA KRISS JEAN PIERRE</t>
  </si>
  <si>
    <t>FLORES VALERIANO DAVID</t>
  </si>
  <si>
    <t>2009-02-09</t>
  </si>
  <si>
    <t>LOVERA QUIROZ NEIL ALEJANDRA</t>
  </si>
  <si>
    <t>2008-03-09</t>
  </si>
  <si>
    <t>PALOMINO QUISPE FABIO CESAR</t>
  </si>
  <si>
    <t>CASTRO LEVANO ELIAS</t>
  </si>
  <si>
    <t>2004-05-20</t>
  </si>
  <si>
    <t>MANRIQUE CARHUAS CRIS STEYSI</t>
  </si>
  <si>
    <t>N°</t>
  </si>
  <si>
    <t>CODIGO</t>
  </si>
  <si>
    <t>APELLIDOS Y NOMBRES</t>
  </si>
  <si>
    <t>AULA - TURNO</t>
  </si>
  <si>
    <t>ENTREGA COMPENDIO</t>
  </si>
  <si>
    <t>CIENCIAS</t>
  </si>
  <si>
    <t>HUMANIDADES</t>
  </si>
  <si>
    <t>FIRMA</t>
  </si>
  <si>
    <t>APTO</t>
  </si>
  <si>
    <t/>
  </si>
  <si>
    <t>X</t>
  </si>
  <si>
    <t>COMPENDIOS PAGADOS</t>
  </si>
  <si>
    <t>CIEN.</t>
  </si>
  <si>
    <t>HUM.</t>
  </si>
  <si>
    <t>COMPENDIO</t>
  </si>
  <si>
    <t>RAMOS LAZON FERNANDO YESHUA</t>
  </si>
  <si>
    <t>GIRON TORRES ANA CRISTINA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</si>
</sst>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98"/>
  <sheetViews>
    <sheetView tabSelected="1" zoomScale="85" zoomScaleNormal="85" workbookViewId="0">
      <selection activeCell="H306" sqref="H306"/>
    </sheetView>
  </sheetViews>
  <sheetFormatPr baseColWidth="10" defaultColWidth="9.140625" defaultRowHeight="15" x14ac:dyDescent="0.25"/>
  <cols>
    <col min="1" max="1" width="4" style="2" bestFit="1" customWidth="1"/>
    <col min="2" max="2" width="8.7109375" style="2" customWidth="1"/>
    <col min="3" max="3" width="50" style="2" bestFit="1" customWidth="1"/>
    <col min="4" max="4" width="10" style="2" bestFit="1" customWidth="1"/>
    <col min="5" max="5" width="18.85546875" style="2" customWidth="1"/>
    <col min="6" max="6" width="10.42578125" style="2" customWidth="1"/>
    <col min="7" max="7" width="14.85546875" style="2" customWidth="1"/>
    <col min="8" max="8" width="19.85546875" style="2" customWidth="1"/>
    <col min="9" max="10" width="9.140625" style="3"/>
  </cols>
  <sheetData>
    <row r="1" spans="1:21" s="1" customFormat="1" x14ac:dyDescent="0.25">
      <c r="A1" s="12" t="s">
        <v>649</v>
      </c>
      <c r="B1" s="12" t="s">
        <v>650</v>
      </c>
      <c r="C1" s="12" t="s">
        <v>651</v>
      </c>
      <c r="D1" s="14" t="s">
        <v>0</v>
      </c>
      <c r="E1" s="12" t="s">
        <v>652</v>
      </c>
      <c r="F1" s="12" t="s">
        <v>653</v>
      </c>
      <c r="G1" s="12"/>
      <c r="H1" s="12" t="s">
        <v>656</v>
      </c>
      <c r="I1" s="13" t="s">
        <v>657</v>
      </c>
      <c r="J1" s="3"/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</row>
    <row r="2" spans="1:21" s="1" customFormat="1" x14ac:dyDescent="0.25">
      <c r="A2" s="12"/>
      <c r="B2" s="12"/>
      <c r="C2" s="12"/>
      <c r="D2" s="14"/>
      <c r="E2" s="12"/>
      <c r="F2" s="4" t="s">
        <v>654</v>
      </c>
      <c r="G2" s="4" t="s">
        <v>655</v>
      </c>
      <c r="H2" s="12"/>
      <c r="I2" s="13"/>
      <c r="J2" s="3"/>
    </row>
    <row r="3" spans="1:21" x14ac:dyDescent="0.25">
      <c r="A3" s="5">
        <v>1</v>
      </c>
      <c r="B3" s="5">
        <v>261001</v>
      </c>
      <c r="C3" s="7" t="s">
        <v>12</v>
      </c>
      <c r="D3" s="5">
        <v>61249198</v>
      </c>
      <c r="E3" s="5" t="s">
        <v>13</v>
      </c>
      <c r="F3" s="5"/>
      <c r="G3" s="5"/>
      <c r="H3" s="5"/>
      <c r="I3" s="6" t="s">
        <v>658</v>
      </c>
      <c r="J3" s="3" t="str">
        <f t="shared" ref="J3:J66" si="0">IF(AND(K3=30, L3=30), "X", "")</f>
        <v/>
      </c>
      <c r="M3" t="s">
        <v>14</v>
      </c>
      <c r="N3" t="s">
        <v>15</v>
      </c>
      <c r="O3" t="s">
        <v>16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</row>
    <row r="4" spans="1:21" x14ac:dyDescent="0.25">
      <c r="A4" s="5">
        <v>2</v>
      </c>
      <c r="B4" s="5">
        <v>261002</v>
      </c>
      <c r="C4" s="7" t="s">
        <v>20</v>
      </c>
      <c r="D4" s="5">
        <v>61389728</v>
      </c>
      <c r="E4" s="5" t="s">
        <v>13</v>
      </c>
      <c r="F4" s="5"/>
      <c r="G4" s="5"/>
      <c r="H4" s="5"/>
      <c r="I4" s="6" t="s">
        <v>658</v>
      </c>
      <c r="J4" s="3" t="str">
        <f t="shared" si="0"/>
        <v/>
      </c>
      <c r="M4" t="s">
        <v>14</v>
      </c>
      <c r="N4" t="s">
        <v>15</v>
      </c>
      <c r="O4" t="s">
        <v>16</v>
      </c>
      <c r="P4" t="s">
        <v>14</v>
      </c>
      <c r="Q4" t="s">
        <v>15</v>
      </c>
      <c r="R4" t="s">
        <v>21</v>
      </c>
      <c r="S4" t="s">
        <v>22</v>
      </c>
      <c r="T4" t="s">
        <v>18</v>
      </c>
      <c r="U4" t="s">
        <v>19</v>
      </c>
    </row>
    <row r="5" spans="1:21" x14ac:dyDescent="0.25">
      <c r="A5" s="5">
        <v>3</v>
      </c>
      <c r="B5" s="5">
        <v>261003</v>
      </c>
      <c r="C5" s="7" t="s">
        <v>23</v>
      </c>
      <c r="D5" s="5">
        <v>62201769</v>
      </c>
      <c r="E5" s="5" t="s">
        <v>13</v>
      </c>
      <c r="F5" s="5"/>
      <c r="G5" s="5"/>
      <c r="H5" s="5"/>
      <c r="I5" s="6" t="s">
        <v>658</v>
      </c>
      <c r="J5" s="3" t="str">
        <f t="shared" si="0"/>
        <v/>
      </c>
      <c r="M5" t="s">
        <v>14</v>
      </c>
      <c r="N5" t="s">
        <v>15</v>
      </c>
      <c r="O5" t="s">
        <v>16</v>
      </c>
      <c r="P5" t="s">
        <v>14</v>
      </c>
      <c r="Q5" t="s">
        <v>15</v>
      </c>
      <c r="R5" t="s">
        <v>24</v>
      </c>
      <c r="S5" t="s">
        <v>25</v>
      </c>
      <c r="T5" t="s">
        <v>18</v>
      </c>
      <c r="U5" t="s">
        <v>19</v>
      </c>
    </row>
    <row r="6" spans="1:21" x14ac:dyDescent="0.25">
      <c r="A6" s="5">
        <v>4</v>
      </c>
      <c r="B6" s="5">
        <v>261004</v>
      </c>
      <c r="C6" s="7" t="s">
        <v>26</v>
      </c>
      <c r="D6" s="5">
        <v>81254435</v>
      </c>
      <c r="E6" s="5" t="s">
        <v>27</v>
      </c>
      <c r="F6" s="5"/>
      <c r="G6" s="5"/>
      <c r="H6" s="5"/>
      <c r="I6" s="6" t="s">
        <v>658</v>
      </c>
      <c r="J6" s="3" t="str">
        <f t="shared" si="0"/>
        <v/>
      </c>
      <c r="M6" t="s">
        <v>14</v>
      </c>
      <c r="N6" t="s">
        <v>15</v>
      </c>
      <c r="O6" t="s">
        <v>21</v>
      </c>
      <c r="P6" t="s">
        <v>14</v>
      </c>
      <c r="Q6" t="s">
        <v>15</v>
      </c>
      <c r="R6" t="s">
        <v>21</v>
      </c>
      <c r="S6" t="s">
        <v>28</v>
      </c>
      <c r="T6" t="s">
        <v>29</v>
      </c>
      <c r="U6" t="s">
        <v>19</v>
      </c>
    </row>
    <row r="7" spans="1:21" x14ac:dyDescent="0.25">
      <c r="A7" s="5">
        <v>5</v>
      </c>
      <c r="B7" s="5">
        <v>261005</v>
      </c>
      <c r="C7" s="7" t="s">
        <v>30</v>
      </c>
      <c r="D7" s="5">
        <v>62335409</v>
      </c>
      <c r="E7" s="5" t="s">
        <v>13</v>
      </c>
      <c r="F7" s="5"/>
      <c r="G7" s="5"/>
      <c r="H7" s="5"/>
      <c r="I7" s="6" t="s">
        <v>658</v>
      </c>
      <c r="J7" s="3" t="str">
        <f t="shared" si="0"/>
        <v/>
      </c>
      <c r="M7" t="s">
        <v>14</v>
      </c>
      <c r="N7" t="s">
        <v>31</v>
      </c>
      <c r="O7" t="s">
        <v>32</v>
      </c>
      <c r="P7" t="s">
        <v>14</v>
      </c>
      <c r="Q7" t="s">
        <v>15</v>
      </c>
      <c r="R7" t="s">
        <v>21</v>
      </c>
      <c r="S7" t="s">
        <v>33</v>
      </c>
      <c r="T7" t="s">
        <v>18</v>
      </c>
      <c r="U7" t="s">
        <v>19</v>
      </c>
    </row>
    <row r="8" spans="1:21" x14ac:dyDescent="0.25">
      <c r="A8" s="5">
        <v>6</v>
      </c>
      <c r="B8" s="5">
        <v>261006</v>
      </c>
      <c r="C8" s="7" t="s">
        <v>34</v>
      </c>
      <c r="D8" s="5">
        <v>61042062</v>
      </c>
      <c r="E8" s="5" t="s">
        <v>27</v>
      </c>
      <c r="F8" s="5"/>
      <c r="G8" s="5"/>
      <c r="H8" s="5"/>
      <c r="I8" s="6" t="s">
        <v>658</v>
      </c>
      <c r="J8" s="3" t="str">
        <f t="shared" si="0"/>
        <v/>
      </c>
      <c r="M8" t="s">
        <v>14</v>
      </c>
      <c r="N8" t="s">
        <v>15</v>
      </c>
      <c r="O8" t="s">
        <v>21</v>
      </c>
      <c r="P8" t="s">
        <v>14</v>
      </c>
      <c r="Q8" t="s">
        <v>15</v>
      </c>
      <c r="R8" t="s">
        <v>21</v>
      </c>
      <c r="S8" t="s">
        <v>35</v>
      </c>
      <c r="T8" t="s">
        <v>18</v>
      </c>
      <c r="U8" t="s">
        <v>19</v>
      </c>
    </row>
    <row r="9" spans="1:21" x14ac:dyDescent="0.25">
      <c r="A9" s="5">
        <v>7</v>
      </c>
      <c r="B9" s="5">
        <v>261007</v>
      </c>
      <c r="C9" s="7" t="s">
        <v>36</v>
      </c>
      <c r="D9" s="5">
        <v>61562718</v>
      </c>
      <c r="E9" s="5" t="s">
        <v>37</v>
      </c>
      <c r="F9" s="5"/>
      <c r="G9" s="5"/>
      <c r="H9" s="5"/>
      <c r="I9" s="6" t="s">
        <v>658</v>
      </c>
      <c r="J9" s="3" t="str">
        <f t="shared" si="0"/>
        <v/>
      </c>
      <c r="M9" t="s">
        <v>14</v>
      </c>
      <c r="N9" t="s">
        <v>15</v>
      </c>
      <c r="O9" t="s">
        <v>16</v>
      </c>
      <c r="P9" t="s">
        <v>14</v>
      </c>
      <c r="Q9" t="s">
        <v>15</v>
      </c>
      <c r="R9" t="s">
        <v>38</v>
      </c>
      <c r="S9" t="s">
        <v>39</v>
      </c>
      <c r="T9" t="s">
        <v>18</v>
      </c>
      <c r="U9" t="s">
        <v>19</v>
      </c>
    </row>
    <row r="10" spans="1:21" x14ac:dyDescent="0.25">
      <c r="A10" s="5">
        <v>8</v>
      </c>
      <c r="B10" s="5">
        <v>261008</v>
      </c>
      <c r="C10" s="7" t="s">
        <v>40</v>
      </c>
      <c r="D10" s="5">
        <v>62021127</v>
      </c>
      <c r="E10" s="5" t="s">
        <v>13</v>
      </c>
      <c r="F10" s="5"/>
      <c r="G10" s="5"/>
      <c r="H10" s="5"/>
      <c r="I10" s="6" t="s">
        <v>658</v>
      </c>
      <c r="J10" s="3" t="str">
        <f t="shared" si="0"/>
        <v/>
      </c>
      <c r="M10" t="s">
        <v>41</v>
      </c>
      <c r="N10" t="s">
        <v>42</v>
      </c>
      <c r="O10" t="s">
        <v>43</v>
      </c>
      <c r="P10" t="s">
        <v>41</v>
      </c>
      <c r="Q10" t="s">
        <v>42</v>
      </c>
      <c r="R10" t="s">
        <v>44</v>
      </c>
      <c r="S10" t="s">
        <v>45</v>
      </c>
      <c r="T10" t="s">
        <v>29</v>
      </c>
      <c r="U10" t="s">
        <v>46</v>
      </c>
    </row>
    <row r="11" spans="1:21" x14ac:dyDescent="0.25">
      <c r="A11" s="5">
        <v>9</v>
      </c>
      <c r="B11" s="5">
        <v>261009</v>
      </c>
      <c r="C11" s="7" t="s">
        <v>47</v>
      </c>
      <c r="D11" s="5">
        <v>60210340</v>
      </c>
      <c r="E11" s="5" t="s">
        <v>27</v>
      </c>
      <c r="F11" s="5"/>
      <c r="G11" s="5"/>
      <c r="H11" s="5"/>
      <c r="I11" s="6" t="s">
        <v>658</v>
      </c>
      <c r="J11" s="3" t="str">
        <f t="shared" si="0"/>
        <v/>
      </c>
      <c r="M11" t="s">
        <v>14</v>
      </c>
      <c r="N11" t="s">
        <v>15</v>
      </c>
      <c r="O11" t="s">
        <v>38</v>
      </c>
      <c r="P11" t="s">
        <v>14</v>
      </c>
      <c r="Q11" t="s">
        <v>15</v>
      </c>
      <c r="R11" t="s">
        <v>38</v>
      </c>
      <c r="S11" t="s">
        <v>48</v>
      </c>
      <c r="T11" t="s">
        <v>18</v>
      </c>
      <c r="U11" t="s">
        <v>46</v>
      </c>
    </row>
    <row r="12" spans="1:21" x14ac:dyDescent="0.25">
      <c r="A12" s="5">
        <v>10</v>
      </c>
      <c r="B12" s="5">
        <v>261010</v>
      </c>
      <c r="C12" s="7" t="s">
        <v>49</v>
      </c>
      <c r="D12" s="5">
        <v>60677803</v>
      </c>
      <c r="E12" s="5" t="s">
        <v>13</v>
      </c>
      <c r="F12" s="5"/>
      <c r="G12" s="5"/>
      <c r="H12" s="5"/>
      <c r="I12" s="6" t="s">
        <v>658</v>
      </c>
      <c r="J12" s="3" t="str">
        <f t="shared" si="0"/>
        <v/>
      </c>
      <c r="M12" t="s">
        <v>14</v>
      </c>
      <c r="N12" t="s">
        <v>15</v>
      </c>
      <c r="O12" t="s">
        <v>16</v>
      </c>
      <c r="P12" t="s">
        <v>14</v>
      </c>
      <c r="Q12" t="s">
        <v>15</v>
      </c>
      <c r="R12" t="s">
        <v>24</v>
      </c>
      <c r="S12" t="s">
        <v>50</v>
      </c>
      <c r="T12" t="s">
        <v>29</v>
      </c>
      <c r="U12" t="s">
        <v>19</v>
      </c>
    </row>
    <row r="13" spans="1:21" x14ac:dyDescent="0.25">
      <c r="A13" s="5">
        <v>11</v>
      </c>
      <c r="B13" s="5">
        <v>261011</v>
      </c>
      <c r="C13" s="7" t="s">
        <v>51</v>
      </c>
      <c r="D13" s="5">
        <v>61527939</v>
      </c>
      <c r="E13" s="5" t="s">
        <v>13</v>
      </c>
      <c r="F13" s="5"/>
      <c r="G13" s="5"/>
      <c r="H13" s="5"/>
      <c r="I13" s="6" t="s">
        <v>658</v>
      </c>
      <c r="J13" s="3" t="str">
        <f t="shared" si="0"/>
        <v/>
      </c>
      <c r="M13" t="s">
        <v>14</v>
      </c>
      <c r="N13" t="s">
        <v>52</v>
      </c>
      <c r="O13" t="s">
        <v>53</v>
      </c>
      <c r="P13" t="s">
        <v>14</v>
      </c>
      <c r="Q13" t="s">
        <v>15</v>
      </c>
      <c r="R13" t="s">
        <v>16</v>
      </c>
      <c r="S13" t="s">
        <v>54</v>
      </c>
      <c r="T13" t="s">
        <v>29</v>
      </c>
      <c r="U13" t="s">
        <v>19</v>
      </c>
    </row>
    <row r="14" spans="1:21" x14ac:dyDescent="0.25">
      <c r="A14" s="5">
        <v>12</v>
      </c>
      <c r="B14" s="5">
        <v>261012</v>
      </c>
      <c r="C14" s="7" t="s">
        <v>55</v>
      </c>
      <c r="D14" s="5">
        <v>61431968</v>
      </c>
      <c r="E14" s="5" t="s">
        <v>13</v>
      </c>
      <c r="F14" s="5"/>
      <c r="G14" s="5"/>
      <c r="H14" s="5"/>
      <c r="I14" s="6" t="s">
        <v>658</v>
      </c>
      <c r="J14" s="3" t="str">
        <f t="shared" si="0"/>
        <v/>
      </c>
      <c r="M14" t="s">
        <v>41</v>
      </c>
      <c r="N14" t="s">
        <v>42</v>
      </c>
      <c r="O14" t="s">
        <v>44</v>
      </c>
      <c r="P14" t="s">
        <v>41</v>
      </c>
      <c r="Q14" t="s">
        <v>42</v>
      </c>
      <c r="R14" t="s">
        <v>44</v>
      </c>
      <c r="S14" t="s">
        <v>56</v>
      </c>
      <c r="T14" t="s">
        <v>29</v>
      </c>
      <c r="U14" t="s">
        <v>19</v>
      </c>
    </row>
    <row r="15" spans="1:21" x14ac:dyDescent="0.25">
      <c r="A15" s="5">
        <v>13</v>
      </c>
      <c r="B15" s="5">
        <v>261013</v>
      </c>
      <c r="C15" s="7" t="s">
        <v>57</v>
      </c>
      <c r="D15" s="5">
        <v>76954677</v>
      </c>
      <c r="E15" s="5" t="s">
        <v>13</v>
      </c>
      <c r="F15" s="5"/>
      <c r="G15" s="5"/>
      <c r="H15" s="5"/>
      <c r="I15" s="6" t="s">
        <v>658</v>
      </c>
      <c r="J15" s="3" t="str">
        <f t="shared" si="0"/>
        <v/>
      </c>
      <c r="M15" t="s">
        <v>14</v>
      </c>
      <c r="N15" t="s">
        <v>31</v>
      </c>
      <c r="O15" t="s">
        <v>58</v>
      </c>
      <c r="P15" t="s">
        <v>14</v>
      </c>
      <c r="Q15" t="s">
        <v>15</v>
      </c>
      <c r="R15" t="s">
        <v>59</v>
      </c>
      <c r="S15" t="s">
        <v>60</v>
      </c>
      <c r="T15" t="s">
        <v>29</v>
      </c>
      <c r="U15" t="s">
        <v>19</v>
      </c>
    </row>
    <row r="16" spans="1:21" x14ac:dyDescent="0.25">
      <c r="A16" s="5">
        <v>14</v>
      </c>
      <c r="B16" s="5">
        <v>261014</v>
      </c>
      <c r="C16" s="7" t="s">
        <v>61</v>
      </c>
      <c r="D16" s="5">
        <v>77437906</v>
      </c>
      <c r="E16" s="5" t="s">
        <v>27</v>
      </c>
      <c r="F16" s="5"/>
      <c r="G16" s="5"/>
      <c r="H16" s="5"/>
      <c r="I16" s="6" t="s">
        <v>659</v>
      </c>
      <c r="J16" s="3" t="str">
        <f t="shared" si="0"/>
        <v>X</v>
      </c>
      <c r="K16">
        <v>30</v>
      </c>
      <c r="L16">
        <v>30</v>
      </c>
      <c r="M16" t="s">
        <v>14</v>
      </c>
      <c r="N16" t="s">
        <v>15</v>
      </c>
      <c r="O16" t="s">
        <v>21</v>
      </c>
      <c r="P16" t="s">
        <v>14</v>
      </c>
      <c r="Q16" t="s">
        <v>15</v>
      </c>
      <c r="R16" t="s">
        <v>59</v>
      </c>
      <c r="S16" t="s">
        <v>62</v>
      </c>
      <c r="T16" t="s">
        <v>18</v>
      </c>
      <c r="U16" t="s">
        <v>19</v>
      </c>
    </row>
    <row r="17" spans="1:21" x14ac:dyDescent="0.25">
      <c r="A17" s="5">
        <v>15</v>
      </c>
      <c r="B17" s="5">
        <v>261015</v>
      </c>
      <c r="C17" s="7" t="s">
        <v>63</v>
      </c>
      <c r="D17" s="5">
        <v>61443676</v>
      </c>
      <c r="E17" s="5" t="s">
        <v>13</v>
      </c>
      <c r="F17" s="5"/>
      <c r="G17" s="5"/>
      <c r="H17" s="5"/>
      <c r="I17" s="6" t="s">
        <v>659</v>
      </c>
      <c r="J17" s="3" t="str">
        <f t="shared" si="0"/>
        <v>X</v>
      </c>
      <c r="K17">
        <v>30</v>
      </c>
      <c r="L17">
        <v>30</v>
      </c>
      <c r="M17" t="s">
        <v>14</v>
      </c>
      <c r="N17" t="s">
        <v>15</v>
      </c>
      <c r="O17" t="s">
        <v>16</v>
      </c>
      <c r="P17" t="s">
        <v>14</v>
      </c>
      <c r="Q17" t="s">
        <v>15</v>
      </c>
      <c r="R17" t="s">
        <v>16</v>
      </c>
      <c r="S17" t="s">
        <v>64</v>
      </c>
      <c r="T17" t="s">
        <v>18</v>
      </c>
      <c r="U17" t="s">
        <v>19</v>
      </c>
    </row>
    <row r="18" spans="1:21" x14ac:dyDescent="0.25">
      <c r="A18" s="5">
        <v>16</v>
      </c>
      <c r="B18" s="5">
        <v>261016</v>
      </c>
      <c r="C18" s="7" t="s">
        <v>65</v>
      </c>
      <c r="D18" s="5">
        <v>61562682</v>
      </c>
      <c r="E18" s="5" t="s">
        <v>27</v>
      </c>
      <c r="F18" s="5"/>
      <c r="G18" s="5"/>
      <c r="H18" s="5"/>
      <c r="I18" s="6" t="s">
        <v>659</v>
      </c>
      <c r="J18" s="3" t="str">
        <f t="shared" si="0"/>
        <v>X</v>
      </c>
      <c r="K18">
        <v>30</v>
      </c>
      <c r="L18">
        <v>30</v>
      </c>
      <c r="M18" t="s">
        <v>14</v>
      </c>
      <c r="N18" t="s">
        <v>15</v>
      </c>
      <c r="O18" t="s">
        <v>21</v>
      </c>
      <c r="P18" t="s">
        <v>14</v>
      </c>
      <c r="Q18" t="s">
        <v>15</v>
      </c>
      <c r="R18" t="s">
        <v>59</v>
      </c>
      <c r="S18" t="s">
        <v>66</v>
      </c>
      <c r="T18" t="s">
        <v>18</v>
      </c>
      <c r="U18" t="s">
        <v>19</v>
      </c>
    </row>
    <row r="19" spans="1:21" x14ac:dyDescent="0.25">
      <c r="A19" s="5">
        <v>17</v>
      </c>
      <c r="B19" s="5">
        <v>261017</v>
      </c>
      <c r="C19" s="7" t="s">
        <v>67</v>
      </c>
      <c r="D19" s="5">
        <v>73554929</v>
      </c>
      <c r="E19" s="5" t="s">
        <v>13</v>
      </c>
      <c r="F19" s="5"/>
      <c r="G19" s="5"/>
      <c r="H19" s="5"/>
      <c r="I19" s="6" t="s">
        <v>658</v>
      </c>
      <c r="J19" s="3" t="str">
        <f t="shared" si="0"/>
        <v/>
      </c>
      <c r="M19" t="s">
        <v>14</v>
      </c>
      <c r="N19" t="s">
        <v>52</v>
      </c>
      <c r="O19" t="s">
        <v>68</v>
      </c>
      <c r="P19" t="s">
        <v>14</v>
      </c>
      <c r="Q19" t="s">
        <v>15</v>
      </c>
      <c r="R19" t="s">
        <v>59</v>
      </c>
      <c r="S19" t="s">
        <v>69</v>
      </c>
      <c r="T19" t="s">
        <v>18</v>
      </c>
      <c r="U19" t="s">
        <v>19</v>
      </c>
    </row>
    <row r="20" spans="1:21" x14ac:dyDescent="0.25">
      <c r="A20" s="5">
        <v>18</v>
      </c>
      <c r="B20" s="5">
        <v>261018</v>
      </c>
      <c r="C20" s="7" t="s">
        <v>70</v>
      </c>
      <c r="D20" s="5">
        <v>61443886</v>
      </c>
      <c r="E20" s="5" t="s">
        <v>71</v>
      </c>
      <c r="F20" s="5"/>
      <c r="G20" s="5"/>
      <c r="H20" s="5"/>
      <c r="I20" s="6" t="s">
        <v>658</v>
      </c>
      <c r="J20" s="3" t="str">
        <f t="shared" si="0"/>
        <v/>
      </c>
      <c r="M20" t="s">
        <v>14</v>
      </c>
      <c r="N20" t="s">
        <v>15</v>
      </c>
      <c r="O20" t="s">
        <v>16</v>
      </c>
      <c r="P20" t="s">
        <v>14</v>
      </c>
      <c r="Q20" t="s">
        <v>15</v>
      </c>
      <c r="R20" t="s">
        <v>16</v>
      </c>
      <c r="S20" t="s">
        <v>72</v>
      </c>
      <c r="T20" t="s">
        <v>18</v>
      </c>
      <c r="U20" t="s">
        <v>19</v>
      </c>
    </row>
    <row r="21" spans="1:21" x14ac:dyDescent="0.25">
      <c r="A21" s="5">
        <v>19</v>
      </c>
      <c r="B21" s="5">
        <v>261019</v>
      </c>
      <c r="C21" s="7" t="s">
        <v>73</v>
      </c>
      <c r="D21" s="5">
        <v>60609642</v>
      </c>
      <c r="E21" s="5" t="s">
        <v>71</v>
      </c>
      <c r="F21" s="5"/>
      <c r="G21" s="5"/>
      <c r="H21" s="5"/>
      <c r="I21" s="6" t="s">
        <v>658</v>
      </c>
      <c r="J21" s="3" t="str">
        <f t="shared" si="0"/>
        <v/>
      </c>
      <c r="M21" t="s">
        <v>41</v>
      </c>
      <c r="N21" t="s">
        <v>42</v>
      </c>
      <c r="O21" t="s">
        <v>74</v>
      </c>
      <c r="P21" t="s">
        <v>41</v>
      </c>
      <c r="Q21" t="s">
        <v>42</v>
      </c>
      <c r="R21" t="s">
        <v>74</v>
      </c>
      <c r="S21" t="s">
        <v>75</v>
      </c>
      <c r="T21" t="s">
        <v>18</v>
      </c>
      <c r="U21" t="s">
        <v>19</v>
      </c>
    </row>
    <row r="22" spans="1:21" x14ac:dyDescent="0.25">
      <c r="A22" s="5">
        <v>20</v>
      </c>
      <c r="B22" s="5">
        <v>261020</v>
      </c>
      <c r="C22" s="7" t="s">
        <v>76</v>
      </c>
      <c r="D22" s="5">
        <v>61487205</v>
      </c>
      <c r="E22" s="5" t="s">
        <v>37</v>
      </c>
      <c r="F22" s="5"/>
      <c r="G22" s="5"/>
      <c r="H22" s="5"/>
      <c r="I22" s="6" t="s">
        <v>659</v>
      </c>
      <c r="J22" s="3" t="str">
        <f t="shared" si="0"/>
        <v>X</v>
      </c>
      <c r="K22">
        <v>30</v>
      </c>
      <c r="L22">
        <v>30</v>
      </c>
      <c r="M22" t="s">
        <v>14</v>
      </c>
      <c r="N22" t="s">
        <v>15</v>
      </c>
      <c r="O22" t="s">
        <v>21</v>
      </c>
      <c r="P22" t="s">
        <v>14</v>
      </c>
      <c r="Q22" t="s">
        <v>15</v>
      </c>
      <c r="R22" t="s">
        <v>21</v>
      </c>
      <c r="S22" t="s">
        <v>77</v>
      </c>
      <c r="T22" t="s">
        <v>18</v>
      </c>
      <c r="U22" t="s">
        <v>78</v>
      </c>
    </row>
    <row r="23" spans="1:21" x14ac:dyDescent="0.25">
      <c r="A23" s="5">
        <v>21</v>
      </c>
      <c r="B23" s="5">
        <v>261021</v>
      </c>
      <c r="C23" s="7" t="s">
        <v>79</v>
      </c>
      <c r="D23" s="5">
        <v>61428690</v>
      </c>
      <c r="E23" s="5" t="s">
        <v>80</v>
      </c>
      <c r="F23" s="5"/>
      <c r="G23" s="5"/>
      <c r="H23" s="5"/>
      <c r="I23" s="6" t="s">
        <v>659</v>
      </c>
      <c r="J23" s="3" t="str">
        <f t="shared" si="0"/>
        <v>X</v>
      </c>
      <c r="K23">
        <v>30</v>
      </c>
      <c r="L23">
        <v>30</v>
      </c>
      <c r="M23" t="s">
        <v>14</v>
      </c>
      <c r="N23" t="s">
        <v>15</v>
      </c>
      <c r="O23" t="s">
        <v>21</v>
      </c>
      <c r="P23" t="s">
        <v>14</v>
      </c>
      <c r="Q23" t="s">
        <v>15</v>
      </c>
      <c r="R23" t="s">
        <v>21</v>
      </c>
      <c r="S23" t="s">
        <v>81</v>
      </c>
      <c r="T23" t="s">
        <v>29</v>
      </c>
      <c r="U23" t="s">
        <v>19</v>
      </c>
    </row>
    <row r="24" spans="1:21" x14ac:dyDescent="0.25">
      <c r="A24" s="5">
        <v>22</v>
      </c>
      <c r="B24" s="5">
        <v>261022</v>
      </c>
      <c r="C24" s="7" t="s">
        <v>82</v>
      </c>
      <c r="D24" s="5">
        <v>62040110</v>
      </c>
      <c r="E24" s="5" t="s">
        <v>27</v>
      </c>
      <c r="F24" s="5"/>
      <c r="G24" s="5"/>
      <c r="H24" s="5"/>
      <c r="I24" s="6" t="s">
        <v>659</v>
      </c>
      <c r="J24" s="3" t="str">
        <f t="shared" si="0"/>
        <v>X</v>
      </c>
      <c r="K24">
        <v>30</v>
      </c>
      <c r="L24">
        <v>30</v>
      </c>
      <c r="M24" t="s">
        <v>14</v>
      </c>
      <c r="N24" t="s">
        <v>15</v>
      </c>
      <c r="O24" t="s">
        <v>21</v>
      </c>
      <c r="P24" t="s">
        <v>14</v>
      </c>
      <c r="Q24" t="s">
        <v>15</v>
      </c>
      <c r="R24" t="s">
        <v>59</v>
      </c>
      <c r="S24" t="s">
        <v>83</v>
      </c>
      <c r="T24" t="s">
        <v>29</v>
      </c>
      <c r="U24" t="s">
        <v>19</v>
      </c>
    </row>
    <row r="25" spans="1:21" x14ac:dyDescent="0.25">
      <c r="A25" s="5">
        <v>23</v>
      </c>
      <c r="B25" s="5">
        <v>261023</v>
      </c>
      <c r="C25" s="7" t="s">
        <v>84</v>
      </c>
      <c r="D25" s="5">
        <v>72036300</v>
      </c>
      <c r="E25" s="5" t="s">
        <v>27</v>
      </c>
      <c r="F25" s="5"/>
      <c r="G25" s="5"/>
      <c r="H25" s="5"/>
      <c r="I25" s="6" t="s">
        <v>659</v>
      </c>
      <c r="J25" s="3" t="str">
        <f t="shared" si="0"/>
        <v>X</v>
      </c>
      <c r="K25">
        <v>30</v>
      </c>
      <c r="L25">
        <v>30</v>
      </c>
      <c r="M25" t="s">
        <v>14</v>
      </c>
      <c r="N25" t="s">
        <v>15</v>
      </c>
      <c r="O25" t="s">
        <v>16</v>
      </c>
      <c r="P25" t="s">
        <v>14</v>
      </c>
      <c r="Q25" t="s">
        <v>15</v>
      </c>
      <c r="R25" t="s">
        <v>16</v>
      </c>
      <c r="S25" t="s">
        <v>85</v>
      </c>
      <c r="T25" t="s">
        <v>18</v>
      </c>
      <c r="U25" t="s">
        <v>19</v>
      </c>
    </row>
    <row r="26" spans="1:21" x14ac:dyDescent="0.25">
      <c r="A26" s="5">
        <v>24</v>
      </c>
      <c r="B26" s="5">
        <v>261024</v>
      </c>
      <c r="C26" s="7" t="s">
        <v>86</v>
      </c>
      <c r="D26" s="5">
        <v>60351585</v>
      </c>
      <c r="E26" s="5" t="s">
        <v>80</v>
      </c>
      <c r="F26" s="5"/>
      <c r="G26" s="5"/>
      <c r="H26" s="5"/>
      <c r="I26" s="6" t="s">
        <v>659</v>
      </c>
      <c r="J26" s="3" t="str">
        <f t="shared" si="0"/>
        <v>X</v>
      </c>
      <c r="K26">
        <v>30</v>
      </c>
      <c r="L26">
        <v>30</v>
      </c>
      <c r="M26" t="s">
        <v>14</v>
      </c>
      <c r="N26" t="s">
        <v>15</v>
      </c>
      <c r="O26" t="s">
        <v>87</v>
      </c>
      <c r="P26" t="s">
        <v>14</v>
      </c>
      <c r="Q26" t="s">
        <v>15</v>
      </c>
      <c r="R26" t="s">
        <v>87</v>
      </c>
      <c r="S26" t="s">
        <v>88</v>
      </c>
      <c r="T26" t="s">
        <v>18</v>
      </c>
      <c r="U26" t="s">
        <v>19</v>
      </c>
    </row>
    <row r="27" spans="1:21" x14ac:dyDescent="0.25">
      <c r="A27" s="5">
        <v>25</v>
      </c>
      <c r="B27" s="5">
        <v>261025</v>
      </c>
      <c r="C27" s="7" t="s">
        <v>89</v>
      </c>
      <c r="D27" s="5">
        <v>614437842</v>
      </c>
      <c r="E27" s="5" t="s">
        <v>27</v>
      </c>
      <c r="F27" s="5"/>
      <c r="G27" s="5"/>
      <c r="H27" s="5"/>
      <c r="I27" s="6" t="s">
        <v>659</v>
      </c>
      <c r="J27" s="3" t="str">
        <f t="shared" si="0"/>
        <v>X</v>
      </c>
      <c r="K27">
        <v>30</v>
      </c>
      <c r="L27">
        <v>30</v>
      </c>
      <c r="M27" t="s">
        <v>14</v>
      </c>
      <c r="N27" t="s">
        <v>15</v>
      </c>
      <c r="O27" t="s">
        <v>16</v>
      </c>
      <c r="P27" t="s">
        <v>14</v>
      </c>
      <c r="Q27" t="s">
        <v>15</v>
      </c>
      <c r="R27" t="s">
        <v>16</v>
      </c>
      <c r="S27" t="s">
        <v>90</v>
      </c>
      <c r="T27" t="s">
        <v>29</v>
      </c>
      <c r="U27" t="s">
        <v>19</v>
      </c>
    </row>
    <row r="28" spans="1:21" x14ac:dyDescent="0.25">
      <c r="A28" s="5">
        <v>26</v>
      </c>
      <c r="B28" s="5">
        <v>261026</v>
      </c>
      <c r="C28" s="7" t="s">
        <v>91</v>
      </c>
      <c r="D28" s="5">
        <v>62026233</v>
      </c>
      <c r="E28" s="5" t="s">
        <v>71</v>
      </c>
      <c r="F28" s="5"/>
      <c r="G28" s="5"/>
      <c r="H28" s="5"/>
      <c r="I28" s="6" t="s">
        <v>659</v>
      </c>
      <c r="J28" s="3" t="str">
        <f t="shared" si="0"/>
        <v>X</v>
      </c>
      <c r="K28">
        <v>30</v>
      </c>
      <c r="L28">
        <v>30</v>
      </c>
      <c r="M28" t="s">
        <v>14</v>
      </c>
      <c r="N28" t="s">
        <v>52</v>
      </c>
      <c r="O28" t="s">
        <v>14</v>
      </c>
      <c r="P28" t="s">
        <v>14</v>
      </c>
      <c r="Q28" t="s">
        <v>15</v>
      </c>
      <c r="R28" t="s">
        <v>24</v>
      </c>
      <c r="S28" t="s">
        <v>92</v>
      </c>
      <c r="T28" t="s">
        <v>29</v>
      </c>
      <c r="U28" t="s">
        <v>19</v>
      </c>
    </row>
    <row r="29" spans="1:21" x14ac:dyDescent="0.25">
      <c r="A29" s="5">
        <v>27</v>
      </c>
      <c r="B29" s="5">
        <v>261027</v>
      </c>
      <c r="C29" s="7" t="s">
        <v>93</v>
      </c>
      <c r="D29" s="5">
        <v>61389791</v>
      </c>
      <c r="E29" s="5" t="s">
        <v>37</v>
      </c>
      <c r="F29" s="5"/>
      <c r="G29" s="5"/>
      <c r="H29" s="5"/>
      <c r="I29" s="6" t="s">
        <v>659</v>
      </c>
      <c r="J29" s="3" t="str">
        <f t="shared" si="0"/>
        <v>X</v>
      </c>
      <c r="K29">
        <v>30</v>
      </c>
      <c r="L29">
        <v>30</v>
      </c>
      <c r="M29" t="s">
        <v>14</v>
      </c>
      <c r="N29" t="s">
        <v>15</v>
      </c>
      <c r="O29" t="s">
        <v>16</v>
      </c>
      <c r="P29" t="s">
        <v>14</v>
      </c>
      <c r="Q29" t="s">
        <v>15</v>
      </c>
      <c r="R29" t="s">
        <v>16</v>
      </c>
      <c r="S29" t="s">
        <v>94</v>
      </c>
      <c r="T29" t="s">
        <v>29</v>
      </c>
      <c r="U29" t="s">
        <v>19</v>
      </c>
    </row>
    <row r="30" spans="1:21" x14ac:dyDescent="0.25">
      <c r="A30" s="5">
        <v>28</v>
      </c>
      <c r="B30" s="5">
        <v>261028</v>
      </c>
      <c r="C30" s="7" t="s">
        <v>95</v>
      </c>
      <c r="D30" s="5">
        <v>61525730</v>
      </c>
      <c r="E30" s="5" t="s">
        <v>80</v>
      </c>
      <c r="F30" s="5"/>
      <c r="G30" s="5"/>
      <c r="H30" s="5"/>
      <c r="I30" s="6" t="s">
        <v>659</v>
      </c>
      <c r="J30" s="3" t="str">
        <f t="shared" si="0"/>
        <v>X</v>
      </c>
      <c r="K30">
        <v>30</v>
      </c>
      <c r="L30">
        <v>30</v>
      </c>
      <c r="M30" t="s">
        <v>14</v>
      </c>
      <c r="N30" t="s">
        <v>15</v>
      </c>
      <c r="O30" t="s">
        <v>16</v>
      </c>
      <c r="P30" t="s">
        <v>14</v>
      </c>
      <c r="Q30" t="s">
        <v>15</v>
      </c>
      <c r="R30" t="s">
        <v>96</v>
      </c>
      <c r="S30" t="s">
        <v>97</v>
      </c>
      <c r="T30" t="s">
        <v>18</v>
      </c>
      <c r="U30" t="s">
        <v>19</v>
      </c>
    </row>
    <row r="31" spans="1:21" x14ac:dyDescent="0.25">
      <c r="A31" s="5">
        <v>29</v>
      </c>
      <c r="B31" s="5">
        <v>261029</v>
      </c>
      <c r="C31" s="7" t="s">
        <v>98</v>
      </c>
      <c r="D31" s="5">
        <v>62051902</v>
      </c>
      <c r="E31" s="5" t="s">
        <v>13</v>
      </c>
      <c r="F31" s="5"/>
      <c r="G31" s="5"/>
      <c r="H31" s="5"/>
      <c r="I31" s="6" t="s">
        <v>659</v>
      </c>
      <c r="J31" s="3" t="str">
        <f t="shared" si="0"/>
        <v>X</v>
      </c>
      <c r="K31">
        <v>30</v>
      </c>
      <c r="L31">
        <v>30</v>
      </c>
      <c r="M31" t="s">
        <v>14</v>
      </c>
      <c r="N31" t="s">
        <v>15</v>
      </c>
      <c r="O31" t="s">
        <v>16</v>
      </c>
      <c r="P31" t="s">
        <v>14</v>
      </c>
      <c r="Q31" t="s">
        <v>15</v>
      </c>
      <c r="R31" t="s">
        <v>21</v>
      </c>
      <c r="S31" t="s">
        <v>99</v>
      </c>
      <c r="T31" t="s">
        <v>18</v>
      </c>
      <c r="U31" t="s">
        <v>46</v>
      </c>
    </row>
    <row r="32" spans="1:21" x14ac:dyDescent="0.25">
      <c r="A32" s="5">
        <v>30</v>
      </c>
      <c r="B32" s="5">
        <v>261030</v>
      </c>
      <c r="C32" s="7" t="s">
        <v>100</v>
      </c>
      <c r="D32" s="5">
        <v>61525905</v>
      </c>
      <c r="E32" s="5" t="s">
        <v>13</v>
      </c>
      <c r="F32" s="5"/>
      <c r="G32" s="5"/>
      <c r="H32" s="5"/>
      <c r="I32" s="6" t="s">
        <v>659</v>
      </c>
      <c r="J32" s="3" t="str">
        <f t="shared" si="0"/>
        <v>X</v>
      </c>
      <c r="K32">
        <v>30</v>
      </c>
      <c r="L32">
        <v>30</v>
      </c>
      <c r="M32" t="s">
        <v>14</v>
      </c>
      <c r="N32" t="s">
        <v>15</v>
      </c>
      <c r="O32" t="s">
        <v>16</v>
      </c>
      <c r="P32" t="s">
        <v>14</v>
      </c>
      <c r="Q32" t="s">
        <v>15</v>
      </c>
      <c r="R32" t="s">
        <v>16</v>
      </c>
      <c r="S32" t="s">
        <v>101</v>
      </c>
      <c r="T32" t="s">
        <v>29</v>
      </c>
      <c r="U32" t="s">
        <v>19</v>
      </c>
    </row>
    <row r="33" spans="1:21" x14ac:dyDescent="0.25">
      <c r="A33" s="5">
        <v>31</v>
      </c>
      <c r="B33" s="5">
        <v>261031</v>
      </c>
      <c r="C33" s="7" t="s">
        <v>102</v>
      </c>
      <c r="D33" s="5">
        <v>60197832</v>
      </c>
      <c r="E33" s="5" t="s">
        <v>13</v>
      </c>
      <c r="F33" s="5"/>
      <c r="G33" s="5"/>
      <c r="H33" s="5"/>
      <c r="I33" s="6" t="s">
        <v>659</v>
      </c>
      <c r="J33" s="3" t="str">
        <f t="shared" si="0"/>
        <v>X</v>
      </c>
      <c r="K33">
        <v>30</v>
      </c>
      <c r="L33">
        <v>30</v>
      </c>
      <c r="M33" t="s">
        <v>14</v>
      </c>
      <c r="N33" t="s">
        <v>31</v>
      </c>
      <c r="O33" t="s">
        <v>103</v>
      </c>
      <c r="P33" t="s">
        <v>14</v>
      </c>
      <c r="Q33" t="s">
        <v>15</v>
      </c>
      <c r="R33" t="s">
        <v>21</v>
      </c>
      <c r="S33" t="s">
        <v>104</v>
      </c>
      <c r="T33" t="s">
        <v>29</v>
      </c>
      <c r="U33" t="s">
        <v>19</v>
      </c>
    </row>
    <row r="34" spans="1:21" x14ac:dyDescent="0.25">
      <c r="A34" s="5">
        <v>32</v>
      </c>
      <c r="B34" s="5">
        <v>261032</v>
      </c>
      <c r="C34" s="7" t="s">
        <v>105</v>
      </c>
      <c r="D34" s="5">
        <v>61507566</v>
      </c>
      <c r="E34" s="5" t="s">
        <v>71</v>
      </c>
      <c r="F34" s="5"/>
      <c r="G34" s="5"/>
      <c r="H34" s="5"/>
      <c r="I34" s="6" t="s">
        <v>659</v>
      </c>
      <c r="J34" s="3" t="str">
        <f t="shared" si="0"/>
        <v>X</v>
      </c>
      <c r="K34">
        <v>30</v>
      </c>
      <c r="L34">
        <v>30</v>
      </c>
      <c r="M34" t="s">
        <v>14</v>
      </c>
      <c r="N34" t="s">
        <v>15</v>
      </c>
      <c r="O34" t="s">
        <v>16</v>
      </c>
      <c r="P34" t="s">
        <v>14</v>
      </c>
      <c r="Q34" t="s">
        <v>15</v>
      </c>
      <c r="R34" t="s">
        <v>21</v>
      </c>
      <c r="S34" t="s">
        <v>106</v>
      </c>
      <c r="T34" t="s">
        <v>18</v>
      </c>
      <c r="U34" t="s">
        <v>46</v>
      </c>
    </row>
    <row r="35" spans="1:21" x14ac:dyDescent="0.25">
      <c r="A35" s="5">
        <v>33</v>
      </c>
      <c r="B35" s="5">
        <v>261033</v>
      </c>
      <c r="C35" s="7" t="s">
        <v>107</v>
      </c>
      <c r="D35" s="5">
        <v>75161247</v>
      </c>
      <c r="E35" s="5" t="s">
        <v>27</v>
      </c>
      <c r="F35" s="5"/>
      <c r="G35" s="5"/>
      <c r="H35" s="5"/>
      <c r="I35" s="6" t="s">
        <v>658</v>
      </c>
      <c r="J35" s="3" t="str">
        <f t="shared" si="0"/>
        <v/>
      </c>
      <c r="M35" t="s">
        <v>14</v>
      </c>
      <c r="N35" t="s">
        <v>15</v>
      </c>
      <c r="O35" t="s">
        <v>21</v>
      </c>
      <c r="P35" t="s">
        <v>14</v>
      </c>
      <c r="Q35" t="s">
        <v>15</v>
      </c>
      <c r="R35" t="s">
        <v>21</v>
      </c>
      <c r="S35" t="s">
        <v>108</v>
      </c>
      <c r="T35" t="s">
        <v>29</v>
      </c>
      <c r="U35" t="s">
        <v>19</v>
      </c>
    </row>
    <row r="36" spans="1:21" x14ac:dyDescent="0.25">
      <c r="A36" s="5">
        <v>34</v>
      </c>
      <c r="B36" s="5">
        <v>261034</v>
      </c>
      <c r="C36" s="7" t="s">
        <v>109</v>
      </c>
      <c r="D36" s="5">
        <v>60637533</v>
      </c>
      <c r="E36" s="5" t="s">
        <v>37</v>
      </c>
      <c r="F36" s="5"/>
      <c r="G36" s="5"/>
      <c r="H36" s="5"/>
      <c r="I36" s="6" t="s">
        <v>658</v>
      </c>
      <c r="J36" s="3" t="str">
        <f t="shared" si="0"/>
        <v/>
      </c>
      <c r="M36" t="s">
        <v>14</v>
      </c>
      <c r="N36" t="s">
        <v>15</v>
      </c>
      <c r="O36" t="s">
        <v>110</v>
      </c>
      <c r="P36" t="s">
        <v>14</v>
      </c>
      <c r="Q36" t="s">
        <v>15</v>
      </c>
      <c r="R36" t="s">
        <v>16</v>
      </c>
      <c r="S36" t="s">
        <v>111</v>
      </c>
      <c r="T36" t="s">
        <v>18</v>
      </c>
      <c r="U36" t="s">
        <v>19</v>
      </c>
    </row>
    <row r="37" spans="1:21" x14ac:dyDescent="0.25">
      <c r="A37" s="5">
        <v>35</v>
      </c>
      <c r="B37" s="5">
        <v>261035</v>
      </c>
      <c r="C37" s="7" t="s">
        <v>112</v>
      </c>
      <c r="D37" s="5">
        <v>60404257</v>
      </c>
      <c r="E37" s="5" t="s">
        <v>113</v>
      </c>
      <c r="F37" s="5"/>
      <c r="G37" s="5"/>
      <c r="H37" s="5"/>
      <c r="I37" s="6" t="s">
        <v>659</v>
      </c>
      <c r="J37" s="3" t="str">
        <f t="shared" si="0"/>
        <v>X</v>
      </c>
      <c r="K37">
        <v>30</v>
      </c>
      <c r="L37">
        <v>30</v>
      </c>
      <c r="M37" t="s">
        <v>114</v>
      </c>
      <c r="N37" t="s">
        <v>115</v>
      </c>
      <c r="O37" t="s">
        <v>116</v>
      </c>
      <c r="P37" t="s">
        <v>14</v>
      </c>
      <c r="Q37" t="s">
        <v>15</v>
      </c>
      <c r="R37" t="s">
        <v>24</v>
      </c>
      <c r="S37" t="s">
        <v>117</v>
      </c>
      <c r="T37" t="s">
        <v>18</v>
      </c>
      <c r="U37" t="s">
        <v>19</v>
      </c>
    </row>
    <row r="38" spans="1:21" x14ac:dyDescent="0.25">
      <c r="A38" s="5">
        <v>36</v>
      </c>
      <c r="B38" s="5">
        <v>261036</v>
      </c>
      <c r="C38" s="7" t="s">
        <v>118</v>
      </c>
      <c r="D38" s="5">
        <v>61992527</v>
      </c>
      <c r="E38" s="5" t="s">
        <v>113</v>
      </c>
      <c r="F38" s="5"/>
      <c r="G38" s="5"/>
      <c r="H38" s="5"/>
      <c r="I38" s="6" t="s">
        <v>659</v>
      </c>
      <c r="J38" s="3" t="str">
        <f t="shared" si="0"/>
        <v>X</v>
      </c>
      <c r="K38">
        <v>30</v>
      </c>
      <c r="L38">
        <v>30</v>
      </c>
      <c r="M38" t="s">
        <v>14</v>
      </c>
      <c r="N38" t="s">
        <v>15</v>
      </c>
      <c r="O38" t="s">
        <v>16</v>
      </c>
      <c r="P38" t="s">
        <v>14</v>
      </c>
      <c r="Q38" t="s">
        <v>15</v>
      </c>
      <c r="R38" t="s">
        <v>16</v>
      </c>
      <c r="S38" t="s">
        <v>119</v>
      </c>
      <c r="T38" t="s">
        <v>18</v>
      </c>
      <c r="U38" t="s">
        <v>19</v>
      </c>
    </row>
    <row r="39" spans="1:21" x14ac:dyDescent="0.25">
      <c r="A39" s="5">
        <v>37</v>
      </c>
      <c r="B39" s="5">
        <v>261037</v>
      </c>
      <c r="C39" s="7" t="s">
        <v>120</v>
      </c>
      <c r="D39" s="5">
        <v>60344949</v>
      </c>
      <c r="E39" s="5" t="s">
        <v>71</v>
      </c>
      <c r="F39" s="5"/>
      <c r="G39" s="5"/>
      <c r="H39" s="5"/>
      <c r="I39" s="6" t="s">
        <v>659</v>
      </c>
      <c r="J39" s="3" t="str">
        <f t="shared" si="0"/>
        <v>X</v>
      </c>
      <c r="K39">
        <v>30</v>
      </c>
      <c r="L39">
        <v>30</v>
      </c>
      <c r="M39" t="s">
        <v>14</v>
      </c>
      <c r="N39" t="s">
        <v>15</v>
      </c>
      <c r="O39" t="s">
        <v>38</v>
      </c>
      <c r="P39" t="s">
        <v>14</v>
      </c>
      <c r="Q39" t="s">
        <v>15</v>
      </c>
      <c r="R39" t="s">
        <v>38</v>
      </c>
      <c r="S39" t="s">
        <v>121</v>
      </c>
      <c r="T39" t="s">
        <v>18</v>
      </c>
      <c r="U39" t="s">
        <v>19</v>
      </c>
    </row>
    <row r="40" spans="1:21" x14ac:dyDescent="0.25">
      <c r="A40" s="5">
        <v>38</v>
      </c>
      <c r="B40" s="5">
        <v>261038</v>
      </c>
      <c r="C40" s="7" t="s">
        <v>122</v>
      </c>
      <c r="D40" s="5">
        <v>62041281</v>
      </c>
      <c r="E40" s="5" t="s">
        <v>71</v>
      </c>
      <c r="F40" s="5"/>
      <c r="G40" s="5"/>
      <c r="H40" s="5"/>
      <c r="I40" s="6" t="s">
        <v>659</v>
      </c>
      <c r="J40" s="3" t="str">
        <f t="shared" si="0"/>
        <v>X</v>
      </c>
      <c r="K40">
        <v>30</v>
      </c>
      <c r="L40">
        <v>30</v>
      </c>
      <c r="M40" t="s">
        <v>14</v>
      </c>
      <c r="N40" t="s">
        <v>15</v>
      </c>
      <c r="O40" t="s">
        <v>21</v>
      </c>
      <c r="P40" t="s">
        <v>14</v>
      </c>
      <c r="Q40" t="s">
        <v>15</v>
      </c>
      <c r="R40" t="s">
        <v>21</v>
      </c>
      <c r="S40" t="s">
        <v>123</v>
      </c>
      <c r="T40" t="s">
        <v>29</v>
      </c>
      <c r="U40" t="s">
        <v>19</v>
      </c>
    </row>
    <row r="41" spans="1:21" x14ac:dyDescent="0.25">
      <c r="A41" s="5">
        <v>39</v>
      </c>
      <c r="B41" s="5">
        <v>261039</v>
      </c>
      <c r="C41" s="7" t="s">
        <v>124</v>
      </c>
      <c r="D41" s="5">
        <v>61347484</v>
      </c>
      <c r="E41" s="5" t="s">
        <v>37</v>
      </c>
      <c r="F41" s="5"/>
      <c r="G41" s="5"/>
      <c r="H41" s="5"/>
      <c r="I41" s="6" t="s">
        <v>659</v>
      </c>
      <c r="J41" s="3" t="str">
        <f t="shared" si="0"/>
        <v>X</v>
      </c>
      <c r="K41">
        <v>30</v>
      </c>
      <c r="L41">
        <v>30</v>
      </c>
      <c r="M41" t="s">
        <v>14</v>
      </c>
      <c r="N41" t="s">
        <v>15</v>
      </c>
      <c r="O41" t="s">
        <v>16</v>
      </c>
      <c r="P41" t="s">
        <v>14</v>
      </c>
      <c r="Q41" t="s">
        <v>15</v>
      </c>
      <c r="R41" t="s">
        <v>21</v>
      </c>
      <c r="S41" t="s">
        <v>125</v>
      </c>
      <c r="T41" t="s">
        <v>18</v>
      </c>
      <c r="U41" t="s">
        <v>78</v>
      </c>
    </row>
    <row r="42" spans="1:21" x14ac:dyDescent="0.25">
      <c r="A42" s="5">
        <v>40</v>
      </c>
      <c r="B42" s="5">
        <v>261040</v>
      </c>
      <c r="C42" s="7" t="s">
        <v>126</v>
      </c>
      <c r="D42" s="5">
        <v>72585885</v>
      </c>
      <c r="E42" s="5" t="s">
        <v>80</v>
      </c>
      <c r="F42" s="5"/>
      <c r="G42" s="5"/>
      <c r="H42" s="5"/>
      <c r="I42" s="6" t="s">
        <v>659</v>
      </c>
      <c r="J42" s="3" t="str">
        <f t="shared" si="0"/>
        <v>X</v>
      </c>
      <c r="K42">
        <v>30</v>
      </c>
      <c r="L42">
        <v>30</v>
      </c>
      <c r="M42" t="s">
        <v>14</v>
      </c>
      <c r="N42" t="s">
        <v>52</v>
      </c>
      <c r="O42" t="s">
        <v>127</v>
      </c>
      <c r="P42" t="s">
        <v>14</v>
      </c>
      <c r="Q42" t="s">
        <v>15</v>
      </c>
      <c r="R42" t="s">
        <v>21</v>
      </c>
      <c r="S42" t="s">
        <v>128</v>
      </c>
      <c r="T42" t="s">
        <v>29</v>
      </c>
      <c r="U42" t="s">
        <v>19</v>
      </c>
    </row>
    <row r="43" spans="1:21" x14ac:dyDescent="0.25">
      <c r="A43" s="5">
        <v>41</v>
      </c>
      <c r="B43" s="5">
        <v>261041</v>
      </c>
      <c r="C43" s="7" t="s">
        <v>129</v>
      </c>
      <c r="D43" s="5">
        <v>61991942</v>
      </c>
      <c r="E43" s="5" t="s">
        <v>113</v>
      </c>
      <c r="F43" s="5"/>
      <c r="G43" s="5"/>
      <c r="H43" s="5"/>
      <c r="I43" s="6" t="s">
        <v>659</v>
      </c>
      <c r="J43" s="3" t="str">
        <f t="shared" si="0"/>
        <v>X</v>
      </c>
      <c r="K43">
        <v>30</v>
      </c>
      <c r="L43">
        <v>30</v>
      </c>
      <c r="M43" t="s">
        <v>14</v>
      </c>
      <c r="N43" t="s">
        <v>15</v>
      </c>
      <c r="O43" t="s">
        <v>16</v>
      </c>
      <c r="P43" t="s">
        <v>14</v>
      </c>
      <c r="Q43" t="s">
        <v>15</v>
      </c>
      <c r="R43" t="s">
        <v>16</v>
      </c>
      <c r="S43" t="s">
        <v>130</v>
      </c>
      <c r="T43" t="s">
        <v>18</v>
      </c>
      <c r="U43" t="s">
        <v>19</v>
      </c>
    </row>
    <row r="44" spans="1:21" x14ac:dyDescent="0.25">
      <c r="A44" s="5">
        <v>42</v>
      </c>
      <c r="B44" s="5">
        <v>261042</v>
      </c>
      <c r="C44" s="7" t="s">
        <v>131</v>
      </c>
      <c r="D44" s="5">
        <v>62041231</v>
      </c>
      <c r="E44" s="5" t="s">
        <v>71</v>
      </c>
      <c r="F44" s="5"/>
      <c r="G44" s="5"/>
      <c r="H44" s="5"/>
      <c r="I44" s="6" t="s">
        <v>659</v>
      </c>
      <c r="J44" s="3" t="str">
        <f t="shared" si="0"/>
        <v>X</v>
      </c>
      <c r="K44">
        <v>30</v>
      </c>
      <c r="L44">
        <v>30</v>
      </c>
      <c r="M44" t="s">
        <v>14</v>
      </c>
      <c r="N44" t="s">
        <v>15</v>
      </c>
      <c r="O44" t="s">
        <v>21</v>
      </c>
      <c r="P44" t="s">
        <v>14</v>
      </c>
      <c r="Q44" t="s">
        <v>15</v>
      </c>
      <c r="R44" t="s">
        <v>21</v>
      </c>
      <c r="S44" t="s">
        <v>132</v>
      </c>
      <c r="T44" t="s">
        <v>29</v>
      </c>
      <c r="U44" t="s">
        <v>19</v>
      </c>
    </row>
    <row r="45" spans="1:21" x14ac:dyDescent="0.25">
      <c r="A45" s="5">
        <v>43</v>
      </c>
      <c r="B45" s="5">
        <v>261043</v>
      </c>
      <c r="C45" s="7" t="s">
        <v>133</v>
      </c>
      <c r="D45" s="5">
        <v>62040190</v>
      </c>
      <c r="E45" s="5" t="s">
        <v>37</v>
      </c>
      <c r="F45" s="5"/>
      <c r="G45" s="5"/>
      <c r="H45" s="5"/>
      <c r="I45" s="6" t="s">
        <v>659</v>
      </c>
      <c r="J45" s="3" t="str">
        <f t="shared" si="0"/>
        <v>X</v>
      </c>
      <c r="K45">
        <v>30</v>
      </c>
      <c r="L45">
        <v>30</v>
      </c>
      <c r="M45" t="s">
        <v>14</v>
      </c>
      <c r="N45" t="s">
        <v>15</v>
      </c>
      <c r="O45" t="s">
        <v>21</v>
      </c>
      <c r="P45" t="s">
        <v>14</v>
      </c>
      <c r="Q45" t="s">
        <v>15</v>
      </c>
      <c r="R45" t="s">
        <v>59</v>
      </c>
      <c r="S45" t="s">
        <v>134</v>
      </c>
      <c r="T45" t="s">
        <v>18</v>
      </c>
      <c r="U45" t="s">
        <v>19</v>
      </c>
    </row>
    <row r="46" spans="1:21" x14ac:dyDescent="0.25">
      <c r="A46" s="5">
        <v>44</v>
      </c>
      <c r="B46" s="5">
        <v>261044</v>
      </c>
      <c r="C46" s="7" t="s">
        <v>135</v>
      </c>
      <c r="D46" s="5">
        <v>72995399</v>
      </c>
      <c r="E46" s="5" t="s">
        <v>71</v>
      </c>
      <c r="F46" s="5"/>
      <c r="G46" s="5"/>
      <c r="H46" s="5"/>
      <c r="I46" s="6" t="s">
        <v>659</v>
      </c>
      <c r="J46" s="3" t="str">
        <f t="shared" si="0"/>
        <v>X</v>
      </c>
      <c r="K46">
        <v>30</v>
      </c>
      <c r="L46">
        <v>30</v>
      </c>
      <c r="M46" t="s">
        <v>14</v>
      </c>
      <c r="N46" t="s">
        <v>52</v>
      </c>
      <c r="O46" t="s">
        <v>53</v>
      </c>
      <c r="P46" t="s">
        <v>14</v>
      </c>
      <c r="Q46" t="s">
        <v>15</v>
      </c>
      <c r="R46" t="s">
        <v>38</v>
      </c>
      <c r="S46" t="s">
        <v>136</v>
      </c>
      <c r="T46" t="s">
        <v>29</v>
      </c>
      <c r="U46" t="s">
        <v>46</v>
      </c>
    </row>
    <row r="47" spans="1:21" x14ac:dyDescent="0.25">
      <c r="A47" s="5">
        <v>45</v>
      </c>
      <c r="B47" s="5">
        <v>261045</v>
      </c>
      <c r="C47" s="7" t="s">
        <v>137</v>
      </c>
      <c r="D47" s="5">
        <v>61376532</v>
      </c>
      <c r="E47" s="5" t="s">
        <v>113</v>
      </c>
      <c r="F47" s="5"/>
      <c r="G47" s="5"/>
      <c r="H47" s="5"/>
      <c r="I47" s="6" t="s">
        <v>659</v>
      </c>
      <c r="J47" s="3" t="str">
        <f t="shared" si="0"/>
        <v>X</v>
      </c>
      <c r="K47">
        <v>30</v>
      </c>
      <c r="L47">
        <v>30</v>
      </c>
      <c r="M47" t="s">
        <v>14</v>
      </c>
      <c r="N47" t="s">
        <v>15</v>
      </c>
      <c r="O47" t="s">
        <v>21</v>
      </c>
      <c r="P47" t="s">
        <v>14</v>
      </c>
      <c r="Q47" t="s">
        <v>15</v>
      </c>
      <c r="R47" t="s">
        <v>21</v>
      </c>
      <c r="S47" t="s">
        <v>138</v>
      </c>
      <c r="T47" t="s">
        <v>18</v>
      </c>
      <c r="U47" t="s">
        <v>78</v>
      </c>
    </row>
    <row r="48" spans="1:21" x14ac:dyDescent="0.25">
      <c r="A48" s="5">
        <v>46</v>
      </c>
      <c r="B48" s="5">
        <v>261046</v>
      </c>
      <c r="C48" s="7" t="s">
        <v>139</v>
      </c>
      <c r="D48" s="5">
        <v>73936485</v>
      </c>
      <c r="E48" s="5" t="s">
        <v>37</v>
      </c>
      <c r="F48" s="5"/>
      <c r="G48" s="5"/>
      <c r="H48" s="5"/>
      <c r="I48" s="6" t="s">
        <v>659</v>
      </c>
      <c r="J48" s="3" t="str">
        <f t="shared" si="0"/>
        <v>X</v>
      </c>
      <c r="K48">
        <v>30</v>
      </c>
      <c r="L48">
        <v>30</v>
      </c>
      <c r="M48" t="s">
        <v>14</v>
      </c>
      <c r="N48" t="s">
        <v>15</v>
      </c>
      <c r="O48" t="s">
        <v>59</v>
      </c>
      <c r="P48" t="s">
        <v>14</v>
      </c>
      <c r="Q48" t="s">
        <v>15</v>
      </c>
      <c r="R48" t="s">
        <v>59</v>
      </c>
      <c r="S48" t="s">
        <v>140</v>
      </c>
      <c r="T48" t="s">
        <v>18</v>
      </c>
      <c r="U48" t="s">
        <v>19</v>
      </c>
    </row>
    <row r="49" spans="1:21" x14ac:dyDescent="0.25">
      <c r="A49" s="5">
        <v>47</v>
      </c>
      <c r="B49" s="5">
        <v>261047</v>
      </c>
      <c r="C49" s="7" t="s">
        <v>141</v>
      </c>
      <c r="D49" s="5">
        <v>61514383</v>
      </c>
      <c r="E49" s="5" t="s">
        <v>80</v>
      </c>
      <c r="F49" s="5"/>
      <c r="G49" s="5"/>
      <c r="H49" s="5"/>
      <c r="I49" s="6" t="s">
        <v>659</v>
      </c>
      <c r="J49" s="3" t="str">
        <f t="shared" si="0"/>
        <v>X</v>
      </c>
      <c r="K49">
        <v>30</v>
      </c>
      <c r="L49">
        <v>30</v>
      </c>
      <c r="M49" t="s">
        <v>14</v>
      </c>
      <c r="N49" t="s">
        <v>15</v>
      </c>
      <c r="O49" t="s">
        <v>21</v>
      </c>
      <c r="P49" t="s">
        <v>14</v>
      </c>
      <c r="Q49" t="s">
        <v>15</v>
      </c>
      <c r="R49" t="s">
        <v>21</v>
      </c>
      <c r="S49" t="s">
        <v>142</v>
      </c>
      <c r="T49" t="s">
        <v>18</v>
      </c>
      <c r="U49" t="s">
        <v>19</v>
      </c>
    </row>
    <row r="50" spans="1:21" x14ac:dyDescent="0.25">
      <c r="A50" s="5">
        <v>48</v>
      </c>
      <c r="B50" s="5">
        <v>261048</v>
      </c>
      <c r="C50" s="7" t="s">
        <v>143</v>
      </c>
      <c r="D50" s="5">
        <v>71672136</v>
      </c>
      <c r="E50" s="5" t="s">
        <v>71</v>
      </c>
      <c r="F50" s="5"/>
      <c r="G50" s="5"/>
      <c r="H50" s="5"/>
      <c r="I50" s="6" t="s">
        <v>659</v>
      </c>
      <c r="J50" s="3" t="str">
        <f t="shared" si="0"/>
        <v>X</v>
      </c>
      <c r="K50">
        <v>30</v>
      </c>
      <c r="L50">
        <v>30</v>
      </c>
      <c r="M50" t="s">
        <v>144</v>
      </c>
      <c r="N50" t="s">
        <v>144</v>
      </c>
      <c r="O50" t="s">
        <v>144</v>
      </c>
      <c r="P50" t="s">
        <v>14</v>
      </c>
      <c r="Q50" t="s">
        <v>15</v>
      </c>
      <c r="R50" t="s">
        <v>16</v>
      </c>
      <c r="S50" t="s">
        <v>145</v>
      </c>
      <c r="T50" t="s">
        <v>29</v>
      </c>
      <c r="U50" t="s">
        <v>19</v>
      </c>
    </row>
    <row r="51" spans="1:21" x14ac:dyDescent="0.25">
      <c r="A51" s="5">
        <v>49</v>
      </c>
      <c r="B51" s="5">
        <v>261049</v>
      </c>
      <c r="C51" s="7" t="s">
        <v>146</v>
      </c>
      <c r="D51" s="5">
        <v>61389578</v>
      </c>
      <c r="E51" s="5" t="s">
        <v>37</v>
      </c>
      <c r="F51" s="5"/>
      <c r="G51" s="5"/>
      <c r="H51" s="5"/>
      <c r="I51" s="6" t="s">
        <v>659</v>
      </c>
      <c r="J51" s="3" t="str">
        <f t="shared" si="0"/>
        <v>X</v>
      </c>
      <c r="K51">
        <v>30</v>
      </c>
      <c r="L51">
        <v>30</v>
      </c>
      <c r="M51" t="s">
        <v>14</v>
      </c>
      <c r="N51" t="s">
        <v>15</v>
      </c>
      <c r="O51" t="s">
        <v>24</v>
      </c>
      <c r="P51" t="s">
        <v>14</v>
      </c>
      <c r="Q51" t="s">
        <v>15</v>
      </c>
      <c r="R51" t="s">
        <v>24</v>
      </c>
      <c r="S51" t="s">
        <v>147</v>
      </c>
      <c r="T51" t="s">
        <v>29</v>
      </c>
      <c r="U51" t="s">
        <v>19</v>
      </c>
    </row>
    <row r="52" spans="1:21" x14ac:dyDescent="0.25">
      <c r="A52" s="5">
        <v>50</v>
      </c>
      <c r="B52" s="5">
        <v>261050</v>
      </c>
      <c r="C52" s="7" t="s">
        <v>148</v>
      </c>
      <c r="D52" s="5">
        <v>80919842</v>
      </c>
      <c r="E52" s="5" t="s">
        <v>80</v>
      </c>
      <c r="F52" s="5"/>
      <c r="G52" s="5"/>
      <c r="H52" s="5"/>
      <c r="I52" s="6" t="s">
        <v>659</v>
      </c>
      <c r="J52" s="3" t="str">
        <f t="shared" si="0"/>
        <v>X</v>
      </c>
      <c r="K52">
        <v>30</v>
      </c>
      <c r="L52">
        <v>30</v>
      </c>
      <c r="M52" t="s">
        <v>149</v>
      </c>
      <c r="N52" t="s">
        <v>150</v>
      </c>
      <c r="O52" t="s">
        <v>151</v>
      </c>
      <c r="P52" t="s">
        <v>14</v>
      </c>
      <c r="Q52" t="s">
        <v>15</v>
      </c>
      <c r="R52" t="s">
        <v>96</v>
      </c>
      <c r="S52" t="s">
        <v>152</v>
      </c>
      <c r="T52" t="s">
        <v>18</v>
      </c>
      <c r="U52" t="s">
        <v>19</v>
      </c>
    </row>
    <row r="53" spans="1:21" x14ac:dyDescent="0.25">
      <c r="A53" s="5">
        <v>51</v>
      </c>
      <c r="B53" s="5">
        <v>261051</v>
      </c>
      <c r="C53" s="7" t="s">
        <v>153</v>
      </c>
      <c r="D53" s="5">
        <v>74030917</v>
      </c>
      <c r="E53" s="5" t="s">
        <v>71</v>
      </c>
      <c r="F53" s="5"/>
      <c r="G53" s="5"/>
      <c r="H53" s="5"/>
      <c r="I53" s="6" t="s">
        <v>659</v>
      </c>
      <c r="J53" s="3" t="str">
        <f t="shared" si="0"/>
        <v>X</v>
      </c>
      <c r="K53">
        <v>30</v>
      </c>
      <c r="L53">
        <v>30</v>
      </c>
      <c r="M53" t="s">
        <v>14</v>
      </c>
      <c r="N53" t="s">
        <v>15</v>
      </c>
      <c r="O53" t="s">
        <v>38</v>
      </c>
      <c r="P53" t="s">
        <v>14</v>
      </c>
      <c r="Q53" t="s">
        <v>15</v>
      </c>
      <c r="R53" t="s">
        <v>38</v>
      </c>
      <c r="S53" t="s">
        <v>154</v>
      </c>
      <c r="T53" t="s">
        <v>29</v>
      </c>
      <c r="U53" t="s">
        <v>19</v>
      </c>
    </row>
    <row r="54" spans="1:21" x14ac:dyDescent="0.25">
      <c r="A54" s="5">
        <v>52</v>
      </c>
      <c r="B54" s="5">
        <v>261052</v>
      </c>
      <c r="C54" s="7" t="s">
        <v>155</v>
      </c>
      <c r="D54" s="5">
        <v>61428706</v>
      </c>
      <c r="E54" s="5" t="s">
        <v>113</v>
      </c>
      <c r="F54" s="5"/>
      <c r="G54" s="5"/>
      <c r="H54" s="5"/>
      <c r="I54" s="6" t="s">
        <v>659</v>
      </c>
      <c r="J54" s="3" t="str">
        <f t="shared" si="0"/>
        <v>X</v>
      </c>
      <c r="K54">
        <v>30</v>
      </c>
      <c r="L54">
        <v>30</v>
      </c>
      <c r="M54" t="s">
        <v>14</v>
      </c>
      <c r="N54" t="s">
        <v>15</v>
      </c>
      <c r="O54" t="s">
        <v>21</v>
      </c>
      <c r="P54" t="s">
        <v>14</v>
      </c>
      <c r="Q54" t="s">
        <v>15</v>
      </c>
      <c r="R54" t="s">
        <v>21</v>
      </c>
      <c r="S54" t="s">
        <v>156</v>
      </c>
      <c r="T54" t="s">
        <v>18</v>
      </c>
      <c r="U54" t="s">
        <v>19</v>
      </c>
    </row>
    <row r="55" spans="1:21" x14ac:dyDescent="0.25">
      <c r="A55" s="5">
        <v>53</v>
      </c>
      <c r="B55" s="5">
        <v>261053</v>
      </c>
      <c r="C55" s="7" t="s">
        <v>157</v>
      </c>
      <c r="D55" s="5">
        <v>61948584</v>
      </c>
      <c r="E55" s="5" t="s">
        <v>37</v>
      </c>
      <c r="F55" s="5"/>
      <c r="G55" s="5"/>
      <c r="H55" s="5"/>
      <c r="I55" s="6" t="s">
        <v>659</v>
      </c>
      <c r="J55" s="3" t="str">
        <f t="shared" si="0"/>
        <v>X</v>
      </c>
      <c r="K55">
        <v>30</v>
      </c>
      <c r="L55">
        <v>30</v>
      </c>
      <c r="M55" t="s">
        <v>14</v>
      </c>
      <c r="N55" t="s">
        <v>15</v>
      </c>
      <c r="O55" t="s">
        <v>16</v>
      </c>
      <c r="P55" t="s">
        <v>14</v>
      </c>
      <c r="Q55" t="s">
        <v>15</v>
      </c>
      <c r="R55" t="s">
        <v>158</v>
      </c>
      <c r="S55" t="s">
        <v>159</v>
      </c>
      <c r="T55" t="s">
        <v>18</v>
      </c>
      <c r="U55" t="s">
        <v>19</v>
      </c>
    </row>
    <row r="56" spans="1:21" x14ac:dyDescent="0.25">
      <c r="A56" s="5">
        <v>54</v>
      </c>
      <c r="B56" s="5">
        <v>261054</v>
      </c>
      <c r="C56" s="7" t="s">
        <v>160</v>
      </c>
      <c r="D56" s="5">
        <v>62229140</v>
      </c>
      <c r="E56" s="5" t="s">
        <v>80</v>
      </c>
      <c r="F56" s="5"/>
      <c r="G56" s="5"/>
      <c r="H56" s="5"/>
      <c r="I56" s="6" t="s">
        <v>659</v>
      </c>
      <c r="J56" s="3" t="str">
        <f t="shared" si="0"/>
        <v>X</v>
      </c>
      <c r="K56">
        <v>30</v>
      </c>
      <c r="L56">
        <v>30</v>
      </c>
      <c r="M56" t="s">
        <v>161</v>
      </c>
      <c r="N56" t="s">
        <v>161</v>
      </c>
      <c r="O56" t="s">
        <v>162</v>
      </c>
      <c r="P56" t="s">
        <v>41</v>
      </c>
      <c r="Q56" t="s">
        <v>42</v>
      </c>
      <c r="R56" t="s">
        <v>43</v>
      </c>
      <c r="S56" t="s">
        <v>163</v>
      </c>
      <c r="T56" t="s">
        <v>29</v>
      </c>
      <c r="U56" t="s">
        <v>19</v>
      </c>
    </row>
    <row r="57" spans="1:21" x14ac:dyDescent="0.25">
      <c r="A57" s="5">
        <v>55</v>
      </c>
      <c r="B57" s="5">
        <v>261055</v>
      </c>
      <c r="C57" s="7" t="s">
        <v>164</v>
      </c>
      <c r="D57" s="5">
        <v>61086073</v>
      </c>
      <c r="E57" s="5" t="s">
        <v>71</v>
      </c>
      <c r="F57" s="5"/>
      <c r="G57" s="5"/>
      <c r="H57" s="5"/>
      <c r="I57" s="6" t="s">
        <v>659</v>
      </c>
      <c r="J57" s="3" t="str">
        <f t="shared" si="0"/>
        <v>X</v>
      </c>
      <c r="K57">
        <v>30</v>
      </c>
      <c r="L57">
        <v>30</v>
      </c>
      <c r="M57" t="s">
        <v>14</v>
      </c>
      <c r="N57" t="s">
        <v>15</v>
      </c>
      <c r="O57" t="s">
        <v>16</v>
      </c>
      <c r="P57" t="s">
        <v>14</v>
      </c>
      <c r="Q57" t="s">
        <v>15</v>
      </c>
      <c r="R57" t="s">
        <v>16</v>
      </c>
      <c r="S57" t="s">
        <v>165</v>
      </c>
      <c r="T57" t="s">
        <v>18</v>
      </c>
      <c r="U57" t="s">
        <v>19</v>
      </c>
    </row>
    <row r="58" spans="1:21" x14ac:dyDescent="0.25">
      <c r="A58" s="5">
        <v>56</v>
      </c>
      <c r="B58" s="5">
        <v>261056</v>
      </c>
      <c r="C58" s="7" t="s">
        <v>166</v>
      </c>
      <c r="D58" s="5">
        <v>62051802</v>
      </c>
      <c r="E58" s="5" t="s">
        <v>37</v>
      </c>
      <c r="F58" s="5"/>
      <c r="G58" s="5"/>
      <c r="H58" s="5"/>
      <c r="I58" s="6" t="s">
        <v>659</v>
      </c>
      <c r="J58" s="3" t="str">
        <f t="shared" si="0"/>
        <v>X</v>
      </c>
      <c r="K58">
        <v>30</v>
      </c>
      <c r="L58">
        <v>30</v>
      </c>
      <c r="M58" t="s">
        <v>14</v>
      </c>
      <c r="N58" t="s">
        <v>15</v>
      </c>
      <c r="O58" t="s">
        <v>21</v>
      </c>
      <c r="P58" t="s">
        <v>14</v>
      </c>
      <c r="Q58" t="s">
        <v>15</v>
      </c>
      <c r="R58" t="s">
        <v>21</v>
      </c>
      <c r="S58" t="s">
        <v>167</v>
      </c>
      <c r="T58" t="s">
        <v>29</v>
      </c>
      <c r="U58" t="s">
        <v>46</v>
      </c>
    </row>
    <row r="59" spans="1:21" x14ac:dyDescent="0.25">
      <c r="A59" s="5">
        <v>57</v>
      </c>
      <c r="B59" s="5">
        <v>261057</v>
      </c>
      <c r="C59" s="7" t="s">
        <v>168</v>
      </c>
      <c r="D59" s="5">
        <v>60071426</v>
      </c>
      <c r="E59" s="5" t="s">
        <v>80</v>
      </c>
      <c r="F59" s="5"/>
      <c r="G59" s="5"/>
      <c r="H59" s="5"/>
      <c r="I59" s="6" t="s">
        <v>659</v>
      </c>
      <c r="J59" s="3" t="str">
        <f t="shared" si="0"/>
        <v>X</v>
      </c>
      <c r="K59">
        <v>30</v>
      </c>
      <c r="L59">
        <v>30</v>
      </c>
      <c r="M59" t="s">
        <v>14</v>
      </c>
      <c r="N59" t="s">
        <v>15</v>
      </c>
      <c r="O59" t="s">
        <v>169</v>
      </c>
      <c r="P59" t="s">
        <v>14</v>
      </c>
      <c r="Q59" t="s">
        <v>15</v>
      </c>
      <c r="R59" t="s">
        <v>169</v>
      </c>
      <c r="S59" t="s">
        <v>170</v>
      </c>
      <c r="T59" t="s">
        <v>18</v>
      </c>
      <c r="U59" t="s">
        <v>19</v>
      </c>
    </row>
    <row r="60" spans="1:21" x14ac:dyDescent="0.25">
      <c r="A60" s="5">
        <v>58</v>
      </c>
      <c r="B60" s="5">
        <v>261058</v>
      </c>
      <c r="C60" s="7" t="s">
        <v>171</v>
      </c>
      <c r="D60" s="5">
        <v>61374860</v>
      </c>
      <c r="E60" s="5" t="s">
        <v>71</v>
      </c>
      <c r="F60" s="5"/>
      <c r="G60" s="5"/>
      <c r="H60" s="5"/>
      <c r="I60" s="6" t="s">
        <v>659</v>
      </c>
      <c r="J60" s="3" t="str">
        <f t="shared" si="0"/>
        <v>X</v>
      </c>
      <c r="K60">
        <v>30</v>
      </c>
      <c r="L60">
        <v>30</v>
      </c>
      <c r="M60" t="s">
        <v>14</v>
      </c>
      <c r="N60" t="s">
        <v>52</v>
      </c>
      <c r="O60" t="s">
        <v>14</v>
      </c>
      <c r="P60" t="s">
        <v>14</v>
      </c>
      <c r="Q60" t="s">
        <v>15</v>
      </c>
      <c r="R60" t="s">
        <v>16</v>
      </c>
      <c r="S60" t="s">
        <v>172</v>
      </c>
      <c r="T60" t="s">
        <v>29</v>
      </c>
      <c r="U60" t="s">
        <v>19</v>
      </c>
    </row>
    <row r="61" spans="1:21" x14ac:dyDescent="0.25">
      <c r="A61" s="5">
        <v>59</v>
      </c>
      <c r="B61" s="5">
        <v>261059</v>
      </c>
      <c r="C61" s="7" t="s">
        <v>173</v>
      </c>
      <c r="D61" s="5">
        <v>61389706</v>
      </c>
      <c r="E61" s="5" t="s">
        <v>37</v>
      </c>
      <c r="F61" s="5"/>
      <c r="G61" s="5"/>
      <c r="H61" s="5"/>
      <c r="I61" s="6" t="s">
        <v>659</v>
      </c>
      <c r="J61" s="3" t="str">
        <f t="shared" si="0"/>
        <v>X</v>
      </c>
      <c r="K61">
        <v>30</v>
      </c>
      <c r="L61">
        <v>30</v>
      </c>
      <c r="M61" t="s">
        <v>14</v>
      </c>
      <c r="N61" t="s">
        <v>15</v>
      </c>
      <c r="O61" t="s">
        <v>16</v>
      </c>
      <c r="P61" t="s">
        <v>14</v>
      </c>
      <c r="Q61" t="s">
        <v>15</v>
      </c>
      <c r="R61" t="s">
        <v>21</v>
      </c>
      <c r="S61" t="s">
        <v>174</v>
      </c>
      <c r="T61" t="s">
        <v>18</v>
      </c>
      <c r="U61" t="s">
        <v>78</v>
      </c>
    </row>
    <row r="62" spans="1:21" x14ac:dyDescent="0.25">
      <c r="A62" s="5">
        <v>60</v>
      </c>
      <c r="B62" s="5">
        <v>261060</v>
      </c>
      <c r="C62" s="7" t="s">
        <v>175</v>
      </c>
      <c r="D62" s="5">
        <v>60745153</v>
      </c>
      <c r="E62" s="5" t="s">
        <v>13</v>
      </c>
      <c r="F62" s="5"/>
      <c r="G62" s="5"/>
      <c r="H62" s="5"/>
      <c r="I62" s="6" t="s">
        <v>659</v>
      </c>
      <c r="J62" s="3" t="str">
        <f t="shared" si="0"/>
        <v>X</v>
      </c>
      <c r="K62">
        <v>30</v>
      </c>
      <c r="L62">
        <v>30</v>
      </c>
      <c r="M62" t="s">
        <v>14</v>
      </c>
      <c r="N62" t="s">
        <v>15</v>
      </c>
      <c r="O62" t="s">
        <v>16</v>
      </c>
      <c r="P62" t="s">
        <v>14</v>
      </c>
      <c r="Q62" t="s">
        <v>15</v>
      </c>
      <c r="R62" t="s">
        <v>16</v>
      </c>
      <c r="S62" t="s">
        <v>176</v>
      </c>
      <c r="T62" t="s">
        <v>18</v>
      </c>
      <c r="U62" t="s">
        <v>19</v>
      </c>
    </row>
    <row r="63" spans="1:21" x14ac:dyDescent="0.25">
      <c r="A63" s="5">
        <v>61</v>
      </c>
      <c r="B63" s="5">
        <v>261061</v>
      </c>
      <c r="C63" s="7" t="s">
        <v>177</v>
      </c>
      <c r="D63" s="5">
        <v>60618634</v>
      </c>
      <c r="E63" s="5" t="s">
        <v>13</v>
      </c>
      <c r="F63" s="5"/>
      <c r="G63" s="5"/>
      <c r="H63" s="5"/>
      <c r="I63" s="6" t="s">
        <v>658</v>
      </c>
      <c r="J63" s="3" t="str">
        <f t="shared" si="0"/>
        <v/>
      </c>
      <c r="M63" t="s">
        <v>14</v>
      </c>
      <c r="N63" t="s">
        <v>15</v>
      </c>
      <c r="O63" t="s">
        <v>96</v>
      </c>
      <c r="P63" t="s">
        <v>14</v>
      </c>
      <c r="Q63" t="s">
        <v>15</v>
      </c>
      <c r="R63" t="s">
        <v>96</v>
      </c>
      <c r="S63" t="s">
        <v>178</v>
      </c>
      <c r="T63" t="s">
        <v>18</v>
      </c>
      <c r="U63" t="s">
        <v>19</v>
      </c>
    </row>
    <row r="64" spans="1:21" x14ac:dyDescent="0.25">
      <c r="A64" s="5">
        <v>62</v>
      </c>
      <c r="B64" s="5">
        <v>261062</v>
      </c>
      <c r="C64" s="7" t="s">
        <v>179</v>
      </c>
      <c r="D64" s="5">
        <v>61582616</v>
      </c>
      <c r="E64" s="5" t="s">
        <v>13</v>
      </c>
      <c r="F64" s="5"/>
      <c r="G64" s="5"/>
      <c r="H64" s="5"/>
      <c r="I64" s="6" t="s">
        <v>659</v>
      </c>
      <c r="J64" s="3" t="str">
        <f t="shared" si="0"/>
        <v>X</v>
      </c>
      <c r="K64">
        <v>30</v>
      </c>
      <c r="L64">
        <v>30</v>
      </c>
      <c r="M64" t="s">
        <v>14</v>
      </c>
      <c r="N64" t="s">
        <v>31</v>
      </c>
      <c r="O64" t="s">
        <v>180</v>
      </c>
      <c r="P64" t="s">
        <v>14</v>
      </c>
      <c r="Q64" t="s">
        <v>15</v>
      </c>
      <c r="R64" t="s">
        <v>21</v>
      </c>
      <c r="S64" t="s">
        <v>181</v>
      </c>
      <c r="T64" t="s">
        <v>29</v>
      </c>
      <c r="U64" t="s">
        <v>19</v>
      </c>
    </row>
    <row r="65" spans="1:21" x14ac:dyDescent="0.25">
      <c r="A65" s="5">
        <v>63</v>
      </c>
      <c r="B65" s="5">
        <v>261063</v>
      </c>
      <c r="C65" s="7" t="s">
        <v>182</v>
      </c>
      <c r="D65" s="5">
        <v>61128429</v>
      </c>
      <c r="E65" s="5" t="s">
        <v>13</v>
      </c>
      <c r="F65" s="5"/>
      <c r="G65" s="5"/>
      <c r="H65" s="5"/>
      <c r="I65" s="6" t="s">
        <v>658</v>
      </c>
      <c r="J65" s="3" t="str">
        <f t="shared" si="0"/>
        <v/>
      </c>
      <c r="M65" t="s">
        <v>14</v>
      </c>
      <c r="N65" t="s">
        <v>15</v>
      </c>
      <c r="O65" t="s">
        <v>16</v>
      </c>
      <c r="P65" t="s">
        <v>14</v>
      </c>
      <c r="Q65" t="s">
        <v>15</v>
      </c>
      <c r="R65" t="s">
        <v>16</v>
      </c>
      <c r="S65" t="s">
        <v>183</v>
      </c>
      <c r="T65" t="s">
        <v>18</v>
      </c>
      <c r="U65" t="s">
        <v>46</v>
      </c>
    </row>
    <row r="66" spans="1:21" x14ac:dyDescent="0.25">
      <c r="A66" s="5">
        <v>64</v>
      </c>
      <c r="B66" s="5">
        <v>261064</v>
      </c>
      <c r="C66" s="7" t="s">
        <v>184</v>
      </c>
      <c r="D66" s="5">
        <v>61653826</v>
      </c>
      <c r="E66" s="5" t="s">
        <v>80</v>
      </c>
      <c r="F66" s="5"/>
      <c r="G66" s="5"/>
      <c r="H66" s="5"/>
      <c r="I66" s="6" t="s">
        <v>659</v>
      </c>
      <c r="J66" s="3" t="str">
        <f t="shared" si="0"/>
        <v>X</v>
      </c>
      <c r="K66">
        <v>30</v>
      </c>
      <c r="L66">
        <v>30</v>
      </c>
      <c r="M66" t="s">
        <v>14</v>
      </c>
      <c r="N66" t="s">
        <v>15</v>
      </c>
      <c r="O66" t="s">
        <v>16</v>
      </c>
      <c r="P66" t="s">
        <v>14</v>
      </c>
      <c r="Q66" t="s">
        <v>15</v>
      </c>
      <c r="R66" t="s">
        <v>87</v>
      </c>
      <c r="S66" t="s">
        <v>185</v>
      </c>
      <c r="T66" t="s">
        <v>29</v>
      </c>
      <c r="U66" t="s">
        <v>19</v>
      </c>
    </row>
    <row r="67" spans="1:21" x14ac:dyDescent="0.25">
      <c r="A67" s="5">
        <v>65</v>
      </c>
      <c r="B67" s="5">
        <v>261065</v>
      </c>
      <c r="C67" s="7" t="s">
        <v>186</v>
      </c>
      <c r="D67" s="5">
        <v>61869165</v>
      </c>
      <c r="E67" s="5" t="s">
        <v>71</v>
      </c>
      <c r="F67" s="5"/>
      <c r="G67" s="5"/>
      <c r="H67" s="5"/>
      <c r="I67" s="6" t="s">
        <v>659</v>
      </c>
      <c r="J67" s="3" t="str">
        <f t="shared" ref="J67:J130" si="1">IF(AND(K67=30, L67=30), "X", "")</f>
        <v>X</v>
      </c>
      <c r="K67">
        <v>30</v>
      </c>
      <c r="L67">
        <v>30</v>
      </c>
      <c r="M67" t="s">
        <v>14</v>
      </c>
      <c r="N67" t="s">
        <v>15</v>
      </c>
      <c r="O67" t="s">
        <v>16</v>
      </c>
      <c r="P67" t="s">
        <v>14</v>
      </c>
      <c r="Q67" t="s">
        <v>15</v>
      </c>
      <c r="R67" t="s">
        <v>16</v>
      </c>
      <c r="S67" t="s">
        <v>187</v>
      </c>
      <c r="T67" t="s">
        <v>29</v>
      </c>
      <c r="U67" t="s">
        <v>46</v>
      </c>
    </row>
    <row r="68" spans="1:21" x14ac:dyDescent="0.25">
      <c r="A68" s="5">
        <v>66</v>
      </c>
      <c r="B68" s="5">
        <v>261066</v>
      </c>
      <c r="C68" s="7" t="s">
        <v>188</v>
      </c>
      <c r="D68" s="5" t="s">
        <v>189</v>
      </c>
      <c r="E68" s="5" t="s">
        <v>37</v>
      </c>
      <c r="F68" s="5"/>
      <c r="G68" s="5"/>
      <c r="H68" s="5"/>
      <c r="I68" s="6" t="s">
        <v>659</v>
      </c>
      <c r="J68" s="3" t="str">
        <f t="shared" si="1"/>
        <v>X</v>
      </c>
      <c r="K68">
        <v>30</v>
      </c>
      <c r="L68">
        <v>30</v>
      </c>
      <c r="M68" t="s">
        <v>190</v>
      </c>
      <c r="N68" t="s">
        <v>190</v>
      </c>
      <c r="O68" t="s">
        <v>190</v>
      </c>
      <c r="P68" t="s">
        <v>14</v>
      </c>
      <c r="Q68" t="s">
        <v>15</v>
      </c>
      <c r="R68" t="s">
        <v>16</v>
      </c>
      <c r="S68" t="s">
        <v>191</v>
      </c>
      <c r="T68" t="s">
        <v>18</v>
      </c>
      <c r="U68" t="s">
        <v>19</v>
      </c>
    </row>
    <row r="69" spans="1:21" x14ac:dyDescent="0.25">
      <c r="A69" s="5">
        <v>67</v>
      </c>
      <c r="B69" s="5">
        <v>261067</v>
      </c>
      <c r="C69" s="7" t="s">
        <v>192</v>
      </c>
      <c r="D69" s="5">
        <v>61428696</v>
      </c>
      <c r="E69" s="5" t="s">
        <v>80</v>
      </c>
      <c r="F69" s="5"/>
      <c r="G69" s="5"/>
      <c r="H69" s="5"/>
      <c r="I69" s="6" t="s">
        <v>659</v>
      </c>
      <c r="J69" s="3" t="str">
        <f t="shared" si="1"/>
        <v>X</v>
      </c>
      <c r="K69">
        <v>30</v>
      </c>
      <c r="L69">
        <v>30</v>
      </c>
      <c r="M69" t="s">
        <v>14</v>
      </c>
      <c r="N69" t="s">
        <v>15</v>
      </c>
      <c r="O69" t="s">
        <v>21</v>
      </c>
      <c r="P69" t="s">
        <v>14</v>
      </c>
      <c r="Q69" t="s">
        <v>15</v>
      </c>
      <c r="R69" t="s">
        <v>21</v>
      </c>
      <c r="S69" t="s">
        <v>193</v>
      </c>
      <c r="T69" t="s">
        <v>29</v>
      </c>
      <c r="U69" t="s">
        <v>19</v>
      </c>
    </row>
    <row r="70" spans="1:21" x14ac:dyDescent="0.25">
      <c r="A70" s="5">
        <v>68</v>
      </c>
      <c r="B70" s="5">
        <v>261068</v>
      </c>
      <c r="C70" s="7" t="s">
        <v>194</v>
      </c>
      <c r="D70" s="5">
        <v>60603628</v>
      </c>
      <c r="E70" s="5" t="s">
        <v>71</v>
      </c>
      <c r="F70" s="5"/>
      <c r="G70" s="5"/>
      <c r="H70" s="5"/>
      <c r="I70" s="6" t="s">
        <v>659</v>
      </c>
      <c r="J70" s="3" t="str">
        <f t="shared" si="1"/>
        <v>X</v>
      </c>
      <c r="K70">
        <v>30</v>
      </c>
      <c r="L70">
        <v>30</v>
      </c>
      <c r="M70" t="s">
        <v>195</v>
      </c>
      <c r="N70" t="s">
        <v>196</v>
      </c>
      <c r="O70" t="s">
        <v>197</v>
      </c>
      <c r="P70" t="s">
        <v>14</v>
      </c>
      <c r="Q70" t="s">
        <v>15</v>
      </c>
      <c r="R70" t="s">
        <v>16</v>
      </c>
      <c r="S70" t="s">
        <v>198</v>
      </c>
      <c r="T70" t="s">
        <v>29</v>
      </c>
      <c r="U70" t="s">
        <v>19</v>
      </c>
    </row>
    <row r="71" spans="1:21" x14ac:dyDescent="0.25">
      <c r="A71" s="5">
        <v>69</v>
      </c>
      <c r="B71" s="5">
        <v>261069</v>
      </c>
      <c r="C71" s="7" t="s">
        <v>199</v>
      </c>
      <c r="D71" s="5">
        <v>61992149</v>
      </c>
      <c r="E71" s="5" t="s">
        <v>37</v>
      </c>
      <c r="F71" s="5"/>
      <c r="G71" s="5"/>
      <c r="H71" s="5"/>
      <c r="I71" s="6" t="s">
        <v>659</v>
      </c>
      <c r="J71" s="3" t="str">
        <f t="shared" si="1"/>
        <v>X</v>
      </c>
      <c r="K71">
        <v>30</v>
      </c>
      <c r="L71">
        <v>30</v>
      </c>
      <c r="M71" t="s">
        <v>14</v>
      </c>
      <c r="N71" t="s">
        <v>15</v>
      </c>
      <c r="O71" t="s">
        <v>16</v>
      </c>
      <c r="P71" t="s">
        <v>14</v>
      </c>
      <c r="Q71" t="s">
        <v>15</v>
      </c>
      <c r="R71" t="s">
        <v>16</v>
      </c>
      <c r="S71" t="s">
        <v>200</v>
      </c>
      <c r="T71" t="s">
        <v>29</v>
      </c>
      <c r="U71" t="s">
        <v>19</v>
      </c>
    </row>
    <row r="72" spans="1:21" x14ac:dyDescent="0.25">
      <c r="A72" s="5">
        <v>70</v>
      </c>
      <c r="B72" s="5">
        <v>261070</v>
      </c>
      <c r="C72" s="7" t="s">
        <v>201</v>
      </c>
      <c r="D72" s="5">
        <v>62041254</v>
      </c>
      <c r="E72" s="5" t="s">
        <v>80</v>
      </c>
      <c r="F72" s="5"/>
      <c r="G72" s="5"/>
      <c r="H72" s="5"/>
      <c r="I72" s="6" t="s">
        <v>659</v>
      </c>
      <c r="J72" s="3" t="str">
        <f t="shared" si="1"/>
        <v>X</v>
      </c>
      <c r="K72">
        <v>30</v>
      </c>
      <c r="L72">
        <v>30</v>
      </c>
      <c r="M72" t="s">
        <v>14</v>
      </c>
      <c r="N72" t="s">
        <v>15</v>
      </c>
      <c r="O72" t="s">
        <v>21</v>
      </c>
      <c r="P72" t="s">
        <v>14</v>
      </c>
      <c r="Q72" t="s">
        <v>15</v>
      </c>
      <c r="R72" t="s">
        <v>59</v>
      </c>
      <c r="S72" t="s">
        <v>202</v>
      </c>
      <c r="T72" t="s">
        <v>29</v>
      </c>
      <c r="U72" t="s">
        <v>19</v>
      </c>
    </row>
    <row r="73" spans="1:21" x14ac:dyDescent="0.25">
      <c r="A73" s="5">
        <v>71</v>
      </c>
      <c r="B73" s="5">
        <v>261071</v>
      </c>
      <c r="C73" s="7" t="s">
        <v>203</v>
      </c>
      <c r="D73" s="5">
        <v>62116588</v>
      </c>
      <c r="E73" s="5" t="s">
        <v>71</v>
      </c>
      <c r="F73" s="5"/>
      <c r="G73" s="5"/>
      <c r="H73" s="5"/>
      <c r="I73" s="6" t="s">
        <v>658</v>
      </c>
      <c r="J73" s="3" t="str">
        <f t="shared" si="1"/>
        <v/>
      </c>
      <c r="M73" t="s">
        <v>195</v>
      </c>
      <c r="N73" t="s">
        <v>204</v>
      </c>
      <c r="O73" t="s">
        <v>205</v>
      </c>
      <c r="P73" t="s">
        <v>14</v>
      </c>
      <c r="Q73" t="s">
        <v>15</v>
      </c>
      <c r="R73" t="s">
        <v>16</v>
      </c>
      <c r="S73" t="s">
        <v>206</v>
      </c>
      <c r="T73" t="s">
        <v>18</v>
      </c>
      <c r="U73" t="s">
        <v>19</v>
      </c>
    </row>
    <row r="74" spans="1:21" x14ac:dyDescent="0.25">
      <c r="A74" s="5">
        <v>72</v>
      </c>
      <c r="B74" s="5">
        <v>261072</v>
      </c>
      <c r="C74" s="7" t="s">
        <v>207</v>
      </c>
      <c r="D74" s="5">
        <v>61514321</v>
      </c>
      <c r="E74" s="5" t="s">
        <v>37</v>
      </c>
      <c r="F74" s="5"/>
      <c r="G74" s="5"/>
      <c r="H74" s="5"/>
      <c r="I74" s="6" t="s">
        <v>659</v>
      </c>
      <c r="J74" s="3" t="str">
        <f t="shared" si="1"/>
        <v>X</v>
      </c>
      <c r="K74">
        <v>30</v>
      </c>
      <c r="L74">
        <v>30</v>
      </c>
      <c r="M74" t="s">
        <v>14</v>
      </c>
      <c r="N74" t="s">
        <v>15</v>
      </c>
      <c r="O74" t="s">
        <v>21</v>
      </c>
      <c r="P74" t="s">
        <v>14</v>
      </c>
      <c r="Q74" t="s">
        <v>15</v>
      </c>
      <c r="R74" t="s">
        <v>21</v>
      </c>
      <c r="S74" t="s">
        <v>208</v>
      </c>
      <c r="T74" t="s">
        <v>29</v>
      </c>
      <c r="U74" t="s">
        <v>46</v>
      </c>
    </row>
    <row r="75" spans="1:21" x14ac:dyDescent="0.25">
      <c r="A75" s="5">
        <v>73</v>
      </c>
      <c r="B75" s="5">
        <v>261073</v>
      </c>
      <c r="C75" s="7" t="s">
        <v>209</v>
      </c>
      <c r="D75" s="5">
        <v>71682084</v>
      </c>
      <c r="E75" s="5" t="s">
        <v>80</v>
      </c>
      <c r="F75" s="5"/>
      <c r="G75" s="5"/>
      <c r="H75" s="5"/>
      <c r="I75" s="6" t="s">
        <v>659</v>
      </c>
      <c r="J75" s="3" t="str">
        <f t="shared" si="1"/>
        <v>X</v>
      </c>
      <c r="K75">
        <v>30</v>
      </c>
      <c r="L75">
        <v>30</v>
      </c>
      <c r="M75" t="s">
        <v>144</v>
      </c>
      <c r="N75" t="s">
        <v>144</v>
      </c>
      <c r="O75" t="s">
        <v>144</v>
      </c>
      <c r="P75" t="s">
        <v>14</v>
      </c>
      <c r="Q75" t="s">
        <v>15</v>
      </c>
      <c r="R75" t="s">
        <v>16</v>
      </c>
      <c r="S75" t="s">
        <v>210</v>
      </c>
      <c r="T75" t="s">
        <v>18</v>
      </c>
      <c r="U75" t="s">
        <v>46</v>
      </c>
    </row>
    <row r="76" spans="1:21" x14ac:dyDescent="0.25">
      <c r="A76" s="5">
        <v>74</v>
      </c>
      <c r="B76" s="5">
        <v>261074</v>
      </c>
      <c r="C76" s="7" t="s">
        <v>211</v>
      </c>
      <c r="D76" s="5">
        <v>62051987</v>
      </c>
      <c r="E76" s="5" t="s">
        <v>71</v>
      </c>
      <c r="F76" s="5"/>
      <c r="G76" s="5"/>
      <c r="H76" s="5"/>
      <c r="I76" s="6" t="s">
        <v>659</v>
      </c>
      <c r="J76" s="3" t="str">
        <f t="shared" si="1"/>
        <v>X</v>
      </c>
      <c r="K76">
        <v>30</v>
      </c>
      <c r="L76">
        <v>30</v>
      </c>
      <c r="M76" t="s">
        <v>14</v>
      </c>
      <c r="N76" t="s">
        <v>15</v>
      </c>
      <c r="O76" t="s">
        <v>16</v>
      </c>
      <c r="P76" t="s">
        <v>14</v>
      </c>
      <c r="Q76" t="s">
        <v>15</v>
      </c>
      <c r="R76" t="s">
        <v>96</v>
      </c>
      <c r="S76" t="s">
        <v>212</v>
      </c>
      <c r="T76" t="s">
        <v>29</v>
      </c>
      <c r="U76" t="s">
        <v>19</v>
      </c>
    </row>
    <row r="77" spans="1:21" x14ac:dyDescent="0.25">
      <c r="A77" s="5">
        <v>75</v>
      </c>
      <c r="B77" s="5">
        <v>261075</v>
      </c>
      <c r="C77" s="7" t="s">
        <v>213</v>
      </c>
      <c r="D77" s="5">
        <v>62051734</v>
      </c>
      <c r="E77" s="5" t="s">
        <v>13</v>
      </c>
      <c r="F77" s="5"/>
      <c r="G77" s="5"/>
      <c r="H77" s="5"/>
      <c r="I77" s="6" t="s">
        <v>659</v>
      </c>
      <c r="J77" s="3" t="str">
        <f t="shared" si="1"/>
        <v>X</v>
      </c>
      <c r="K77">
        <v>30</v>
      </c>
      <c r="L77">
        <v>30</v>
      </c>
      <c r="M77" t="s">
        <v>14</v>
      </c>
      <c r="N77" t="s">
        <v>15</v>
      </c>
      <c r="O77" t="s">
        <v>59</v>
      </c>
      <c r="P77" t="s">
        <v>14</v>
      </c>
      <c r="Q77" t="s">
        <v>15</v>
      </c>
      <c r="R77" t="s">
        <v>59</v>
      </c>
      <c r="S77" t="s">
        <v>214</v>
      </c>
      <c r="T77" t="s">
        <v>29</v>
      </c>
      <c r="U77" t="s">
        <v>19</v>
      </c>
    </row>
    <row r="78" spans="1:21" x14ac:dyDescent="0.25">
      <c r="A78" s="5">
        <v>76</v>
      </c>
      <c r="B78" s="5">
        <v>261076</v>
      </c>
      <c r="C78" s="7" t="s">
        <v>215</v>
      </c>
      <c r="D78" s="5">
        <v>62051973</v>
      </c>
      <c r="E78" s="5" t="s">
        <v>37</v>
      </c>
      <c r="F78" s="5"/>
      <c r="G78" s="5"/>
      <c r="H78" s="5"/>
      <c r="I78" s="6" t="s">
        <v>659</v>
      </c>
      <c r="J78" s="3" t="str">
        <f t="shared" si="1"/>
        <v>X</v>
      </c>
      <c r="K78">
        <v>30</v>
      </c>
      <c r="L78">
        <v>30</v>
      </c>
      <c r="M78" t="s">
        <v>14</v>
      </c>
      <c r="N78" t="s">
        <v>15</v>
      </c>
      <c r="O78" t="s">
        <v>16</v>
      </c>
      <c r="P78" t="s">
        <v>14</v>
      </c>
      <c r="Q78" t="s">
        <v>15</v>
      </c>
      <c r="R78" t="s">
        <v>16</v>
      </c>
      <c r="S78" t="s">
        <v>216</v>
      </c>
      <c r="T78" t="s">
        <v>29</v>
      </c>
      <c r="U78" t="s">
        <v>19</v>
      </c>
    </row>
    <row r="79" spans="1:21" x14ac:dyDescent="0.25">
      <c r="A79" s="5">
        <v>77</v>
      </c>
      <c r="B79" s="5">
        <v>261077</v>
      </c>
      <c r="C79" s="7" t="s">
        <v>217</v>
      </c>
      <c r="D79" s="5">
        <v>62052006</v>
      </c>
      <c r="E79" s="5" t="s">
        <v>80</v>
      </c>
      <c r="F79" s="5"/>
      <c r="G79" s="5"/>
      <c r="H79" s="5"/>
      <c r="I79" s="6" t="s">
        <v>658</v>
      </c>
      <c r="J79" s="3" t="str">
        <f t="shared" si="1"/>
        <v/>
      </c>
      <c r="M79" t="s">
        <v>14</v>
      </c>
      <c r="N79" t="s">
        <v>15</v>
      </c>
      <c r="O79" t="s">
        <v>16</v>
      </c>
      <c r="P79" t="s">
        <v>14</v>
      </c>
      <c r="Q79" t="s">
        <v>15</v>
      </c>
      <c r="R79" t="s">
        <v>16</v>
      </c>
      <c r="S79" t="s">
        <v>218</v>
      </c>
      <c r="T79" t="s">
        <v>29</v>
      </c>
      <c r="U79" t="s">
        <v>19</v>
      </c>
    </row>
    <row r="80" spans="1:21" x14ac:dyDescent="0.25">
      <c r="A80" s="5">
        <v>78</v>
      </c>
      <c r="B80" s="5">
        <v>261078</v>
      </c>
      <c r="C80" s="7" t="s">
        <v>219</v>
      </c>
      <c r="D80" s="5">
        <v>72583974</v>
      </c>
      <c r="E80" s="5" t="s">
        <v>71</v>
      </c>
      <c r="F80" s="5"/>
      <c r="G80" s="5"/>
      <c r="H80" s="5"/>
      <c r="I80" s="6" t="s">
        <v>658</v>
      </c>
      <c r="J80" s="3" t="str">
        <f t="shared" si="1"/>
        <v/>
      </c>
      <c r="M80" t="s">
        <v>14</v>
      </c>
      <c r="N80" t="s">
        <v>15</v>
      </c>
      <c r="O80" t="s">
        <v>24</v>
      </c>
      <c r="P80" t="s">
        <v>14</v>
      </c>
      <c r="Q80" t="s">
        <v>15</v>
      </c>
      <c r="R80" t="s">
        <v>24</v>
      </c>
      <c r="S80" t="s">
        <v>220</v>
      </c>
      <c r="T80" t="s">
        <v>29</v>
      </c>
      <c r="U80" t="s">
        <v>19</v>
      </c>
    </row>
    <row r="81" spans="1:21" x14ac:dyDescent="0.25">
      <c r="A81" s="5">
        <v>79</v>
      </c>
      <c r="B81" s="5">
        <v>261079</v>
      </c>
      <c r="C81" s="7" t="s">
        <v>221</v>
      </c>
      <c r="D81" s="5">
        <v>61869528</v>
      </c>
      <c r="E81" s="5" t="s">
        <v>113</v>
      </c>
      <c r="F81" s="5"/>
      <c r="G81" s="5"/>
      <c r="H81" s="5"/>
      <c r="I81" s="6" t="s">
        <v>659</v>
      </c>
      <c r="J81" s="3" t="str">
        <f t="shared" si="1"/>
        <v>X</v>
      </c>
      <c r="K81">
        <v>30</v>
      </c>
      <c r="L81">
        <v>30</v>
      </c>
      <c r="M81" t="s">
        <v>14</v>
      </c>
      <c r="N81" t="s">
        <v>15</v>
      </c>
      <c r="O81" t="s">
        <v>16</v>
      </c>
      <c r="P81" t="s">
        <v>14</v>
      </c>
      <c r="Q81" t="s">
        <v>15</v>
      </c>
      <c r="R81" t="s">
        <v>21</v>
      </c>
      <c r="S81" t="s">
        <v>222</v>
      </c>
      <c r="T81" t="s">
        <v>29</v>
      </c>
      <c r="U81" t="s">
        <v>19</v>
      </c>
    </row>
    <row r="82" spans="1:21" x14ac:dyDescent="0.25">
      <c r="A82" s="5">
        <v>80</v>
      </c>
      <c r="B82" s="5">
        <v>261080</v>
      </c>
      <c r="C82" s="7" t="s">
        <v>223</v>
      </c>
      <c r="D82" s="5">
        <v>60618622</v>
      </c>
      <c r="E82" s="5" t="s">
        <v>37</v>
      </c>
      <c r="F82" s="5"/>
      <c r="G82" s="5"/>
      <c r="H82" s="5"/>
      <c r="I82" s="6" t="s">
        <v>659</v>
      </c>
      <c r="J82" s="3" t="str">
        <f t="shared" si="1"/>
        <v>X</v>
      </c>
      <c r="K82">
        <v>30</v>
      </c>
      <c r="L82">
        <v>30</v>
      </c>
      <c r="M82" t="s">
        <v>14</v>
      </c>
      <c r="N82" t="s">
        <v>15</v>
      </c>
      <c r="O82" t="s">
        <v>21</v>
      </c>
      <c r="P82" t="s">
        <v>14</v>
      </c>
      <c r="Q82" t="s">
        <v>15</v>
      </c>
      <c r="R82" t="s">
        <v>96</v>
      </c>
      <c r="S82" t="s">
        <v>224</v>
      </c>
      <c r="T82" t="s">
        <v>29</v>
      </c>
      <c r="U82" t="s">
        <v>19</v>
      </c>
    </row>
    <row r="83" spans="1:21" x14ac:dyDescent="0.25">
      <c r="A83" s="5">
        <v>81</v>
      </c>
      <c r="B83" s="5">
        <v>261081</v>
      </c>
      <c r="C83" s="7" t="s">
        <v>225</v>
      </c>
      <c r="D83" s="5">
        <v>61032945</v>
      </c>
      <c r="E83" s="5" t="s">
        <v>113</v>
      </c>
      <c r="F83" s="5"/>
      <c r="G83" s="5"/>
      <c r="H83" s="5"/>
      <c r="I83" s="6" t="s">
        <v>659</v>
      </c>
      <c r="J83" s="3" t="str">
        <f t="shared" si="1"/>
        <v>X</v>
      </c>
      <c r="K83">
        <v>30</v>
      </c>
      <c r="L83">
        <v>30</v>
      </c>
      <c r="M83" t="s">
        <v>14</v>
      </c>
      <c r="N83" t="s">
        <v>52</v>
      </c>
      <c r="O83" t="s">
        <v>226</v>
      </c>
      <c r="P83" t="s">
        <v>14</v>
      </c>
      <c r="Q83" t="s">
        <v>15</v>
      </c>
      <c r="R83" t="s">
        <v>16</v>
      </c>
      <c r="S83" t="s">
        <v>227</v>
      </c>
      <c r="T83" t="s">
        <v>29</v>
      </c>
      <c r="U83" t="s">
        <v>19</v>
      </c>
    </row>
    <row r="84" spans="1:21" x14ac:dyDescent="0.25">
      <c r="A84" s="5">
        <v>82</v>
      </c>
      <c r="B84" s="5">
        <v>261082</v>
      </c>
      <c r="C84" s="7" t="s">
        <v>228</v>
      </c>
      <c r="D84" s="5">
        <v>61779697</v>
      </c>
      <c r="E84" s="5" t="s">
        <v>80</v>
      </c>
      <c r="F84" s="5"/>
      <c r="G84" s="5"/>
      <c r="H84" s="5"/>
      <c r="I84" s="6" t="s">
        <v>659</v>
      </c>
      <c r="J84" s="3" t="str">
        <f t="shared" si="1"/>
        <v>X</v>
      </c>
      <c r="K84">
        <v>30</v>
      </c>
      <c r="L84">
        <v>30</v>
      </c>
      <c r="M84" t="s">
        <v>14</v>
      </c>
      <c r="N84" t="s">
        <v>15</v>
      </c>
      <c r="O84" t="s">
        <v>16</v>
      </c>
      <c r="P84" t="s">
        <v>14</v>
      </c>
      <c r="Q84" t="s">
        <v>15</v>
      </c>
      <c r="R84" t="s">
        <v>16</v>
      </c>
      <c r="S84" t="s">
        <v>229</v>
      </c>
      <c r="T84" t="s">
        <v>18</v>
      </c>
      <c r="U84" t="s">
        <v>19</v>
      </c>
    </row>
    <row r="85" spans="1:21" x14ac:dyDescent="0.25">
      <c r="A85" s="5">
        <v>83</v>
      </c>
      <c r="B85" s="5">
        <v>261083</v>
      </c>
      <c r="C85" s="7" t="s">
        <v>230</v>
      </c>
      <c r="D85" s="5">
        <v>61376432</v>
      </c>
      <c r="E85" s="5" t="s">
        <v>113</v>
      </c>
      <c r="F85" s="5"/>
      <c r="G85" s="5"/>
      <c r="H85" s="5"/>
      <c r="I85" s="6" t="s">
        <v>659</v>
      </c>
      <c r="J85" s="3" t="str">
        <f t="shared" si="1"/>
        <v>X</v>
      </c>
      <c r="K85">
        <v>30</v>
      </c>
      <c r="L85">
        <v>30</v>
      </c>
      <c r="M85" t="s">
        <v>14</v>
      </c>
      <c r="N85" t="s">
        <v>15</v>
      </c>
      <c r="O85" t="s">
        <v>16</v>
      </c>
      <c r="P85" t="s">
        <v>14</v>
      </c>
      <c r="Q85" t="s">
        <v>15</v>
      </c>
      <c r="R85" t="s">
        <v>16</v>
      </c>
      <c r="S85" t="s">
        <v>231</v>
      </c>
      <c r="T85" t="s">
        <v>29</v>
      </c>
      <c r="U85" t="s">
        <v>19</v>
      </c>
    </row>
    <row r="86" spans="1:21" x14ac:dyDescent="0.25">
      <c r="A86" s="5">
        <v>84</v>
      </c>
      <c r="B86" s="5">
        <v>261084</v>
      </c>
      <c r="C86" s="7" t="s">
        <v>232</v>
      </c>
      <c r="D86" s="5">
        <v>61567216</v>
      </c>
      <c r="E86" s="5" t="s">
        <v>71</v>
      </c>
      <c r="F86" s="5"/>
      <c r="G86" s="5"/>
      <c r="H86" s="5"/>
      <c r="I86" s="6" t="s">
        <v>659</v>
      </c>
      <c r="J86" s="3" t="str">
        <f t="shared" si="1"/>
        <v>X</v>
      </c>
      <c r="K86">
        <v>30</v>
      </c>
      <c r="L86">
        <v>30</v>
      </c>
      <c r="M86" t="s">
        <v>14</v>
      </c>
      <c r="N86" t="s">
        <v>15</v>
      </c>
      <c r="O86" t="s">
        <v>59</v>
      </c>
      <c r="P86" t="s">
        <v>14</v>
      </c>
      <c r="Q86" t="s">
        <v>15</v>
      </c>
      <c r="R86" t="s">
        <v>59</v>
      </c>
      <c r="S86" t="s">
        <v>233</v>
      </c>
      <c r="T86" t="s">
        <v>18</v>
      </c>
      <c r="U86" t="s">
        <v>19</v>
      </c>
    </row>
    <row r="87" spans="1:21" x14ac:dyDescent="0.25">
      <c r="A87" s="5">
        <v>85</v>
      </c>
      <c r="B87" s="5">
        <v>261085</v>
      </c>
      <c r="C87" s="7" t="s">
        <v>234</v>
      </c>
      <c r="D87" s="5">
        <v>60184805</v>
      </c>
      <c r="E87" s="5" t="s">
        <v>37</v>
      </c>
      <c r="F87" s="5"/>
      <c r="G87" s="5"/>
      <c r="H87" s="5"/>
      <c r="I87" s="6" t="s">
        <v>659</v>
      </c>
      <c r="J87" s="3" t="str">
        <f t="shared" si="1"/>
        <v>X</v>
      </c>
      <c r="K87">
        <v>30</v>
      </c>
      <c r="L87">
        <v>30</v>
      </c>
      <c r="M87" t="s">
        <v>14</v>
      </c>
      <c r="N87" t="s">
        <v>31</v>
      </c>
      <c r="O87" t="s">
        <v>32</v>
      </c>
      <c r="P87" t="s">
        <v>14</v>
      </c>
      <c r="Q87" t="s">
        <v>15</v>
      </c>
      <c r="R87" t="s">
        <v>16</v>
      </c>
      <c r="S87" t="s">
        <v>235</v>
      </c>
      <c r="T87" t="s">
        <v>29</v>
      </c>
      <c r="U87" t="s">
        <v>19</v>
      </c>
    </row>
    <row r="88" spans="1:21" x14ac:dyDescent="0.25">
      <c r="A88" s="5">
        <v>86</v>
      </c>
      <c r="B88" s="5">
        <v>261086</v>
      </c>
      <c r="C88" s="7" t="s">
        <v>236</v>
      </c>
      <c r="D88" s="5">
        <v>61562714</v>
      </c>
      <c r="E88" s="5" t="s">
        <v>80</v>
      </c>
      <c r="F88" s="5"/>
      <c r="G88" s="5"/>
      <c r="H88" s="5"/>
      <c r="I88" s="6" t="s">
        <v>659</v>
      </c>
      <c r="J88" s="3" t="str">
        <f t="shared" si="1"/>
        <v>X</v>
      </c>
      <c r="K88">
        <v>30</v>
      </c>
      <c r="L88">
        <v>30</v>
      </c>
      <c r="M88" t="s">
        <v>14</v>
      </c>
      <c r="N88" t="s">
        <v>15</v>
      </c>
      <c r="O88" t="s">
        <v>16</v>
      </c>
      <c r="P88" t="s">
        <v>14</v>
      </c>
      <c r="Q88" t="s">
        <v>15</v>
      </c>
      <c r="R88" t="s">
        <v>38</v>
      </c>
      <c r="S88" t="s">
        <v>119</v>
      </c>
      <c r="T88" t="s">
        <v>29</v>
      </c>
      <c r="U88" t="s">
        <v>19</v>
      </c>
    </row>
    <row r="89" spans="1:21" x14ac:dyDescent="0.25">
      <c r="A89" s="5">
        <v>87</v>
      </c>
      <c r="B89" s="5">
        <v>261087</v>
      </c>
      <c r="C89" s="7" t="s">
        <v>237</v>
      </c>
      <c r="D89" s="5">
        <v>60383210</v>
      </c>
      <c r="E89" s="5" t="s">
        <v>80</v>
      </c>
      <c r="F89" s="5"/>
      <c r="G89" s="5"/>
      <c r="H89" s="5"/>
      <c r="I89" s="6" t="s">
        <v>659</v>
      </c>
      <c r="J89" s="3" t="str">
        <f t="shared" si="1"/>
        <v>X</v>
      </c>
      <c r="K89">
        <v>30</v>
      </c>
      <c r="L89">
        <v>30</v>
      </c>
      <c r="M89" t="s">
        <v>14</v>
      </c>
      <c r="N89" t="s">
        <v>15</v>
      </c>
      <c r="O89" t="s">
        <v>38</v>
      </c>
      <c r="P89" t="s">
        <v>14</v>
      </c>
      <c r="Q89" t="s">
        <v>15</v>
      </c>
      <c r="R89" t="s">
        <v>38</v>
      </c>
      <c r="S89" t="s">
        <v>238</v>
      </c>
      <c r="T89" t="s">
        <v>29</v>
      </c>
      <c r="U89" t="s">
        <v>19</v>
      </c>
    </row>
    <row r="90" spans="1:21" x14ac:dyDescent="0.25">
      <c r="A90" s="5">
        <v>88</v>
      </c>
      <c r="B90" s="5">
        <v>261088</v>
      </c>
      <c r="C90" s="7" t="s">
        <v>239</v>
      </c>
      <c r="D90" s="5">
        <v>70785723</v>
      </c>
      <c r="E90" s="5" t="s">
        <v>113</v>
      </c>
      <c r="F90" s="5"/>
      <c r="G90" s="5"/>
      <c r="H90" s="5"/>
      <c r="I90" s="6" t="s">
        <v>659</v>
      </c>
      <c r="J90" s="3" t="str">
        <f t="shared" si="1"/>
        <v>X</v>
      </c>
      <c r="K90">
        <v>30</v>
      </c>
      <c r="L90">
        <v>30</v>
      </c>
      <c r="M90" t="s">
        <v>14</v>
      </c>
      <c r="N90" t="s">
        <v>52</v>
      </c>
      <c r="O90" t="s">
        <v>240</v>
      </c>
      <c r="P90" t="s">
        <v>14</v>
      </c>
      <c r="Q90" t="s">
        <v>15</v>
      </c>
      <c r="R90" t="s">
        <v>16</v>
      </c>
      <c r="S90" t="s">
        <v>241</v>
      </c>
      <c r="T90" t="s">
        <v>29</v>
      </c>
      <c r="U90" t="s">
        <v>19</v>
      </c>
    </row>
    <row r="91" spans="1:21" x14ac:dyDescent="0.25">
      <c r="A91" s="5">
        <v>89</v>
      </c>
      <c r="B91" s="5">
        <v>261089</v>
      </c>
      <c r="C91" s="7" t="s">
        <v>242</v>
      </c>
      <c r="D91" s="5">
        <v>61376423</v>
      </c>
      <c r="E91" s="5" t="s">
        <v>71</v>
      </c>
      <c r="F91" s="5"/>
      <c r="G91" s="5"/>
      <c r="H91" s="5"/>
      <c r="I91" s="6" t="s">
        <v>659</v>
      </c>
      <c r="J91" s="3" t="str">
        <f t="shared" si="1"/>
        <v>X</v>
      </c>
      <c r="K91">
        <v>30</v>
      </c>
      <c r="L91">
        <v>30</v>
      </c>
      <c r="M91" t="s">
        <v>14</v>
      </c>
      <c r="N91" t="s">
        <v>15</v>
      </c>
      <c r="O91" t="s">
        <v>59</v>
      </c>
      <c r="P91" t="s">
        <v>14</v>
      </c>
      <c r="Q91" t="s">
        <v>15</v>
      </c>
      <c r="R91" t="s">
        <v>59</v>
      </c>
      <c r="S91" t="s">
        <v>243</v>
      </c>
      <c r="T91" t="s">
        <v>29</v>
      </c>
      <c r="U91" t="s">
        <v>19</v>
      </c>
    </row>
    <row r="92" spans="1:21" x14ac:dyDescent="0.25">
      <c r="A92" s="5">
        <v>90</v>
      </c>
      <c r="B92" s="5">
        <v>261090</v>
      </c>
      <c r="C92" s="7" t="s">
        <v>244</v>
      </c>
      <c r="D92" s="5">
        <v>61514260</v>
      </c>
      <c r="E92" s="5" t="s">
        <v>37</v>
      </c>
      <c r="F92" s="5"/>
      <c r="G92" s="5"/>
      <c r="H92" s="5"/>
      <c r="I92" s="6" t="s">
        <v>659</v>
      </c>
      <c r="J92" s="3" t="str">
        <f t="shared" si="1"/>
        <v>X</v>
      </c>
      <c r="K92">
        <v>30</v>
      </c>
      <c r="L92">
        <v>30</v>
      </c>
      <c r="M92" t="s">
        <v>14</v>
      </c>
      <c r="N92" t="s">
        <v>15</v>
      </c>
      <c r="O92" t="s">
        <v>21</v>
      </c>
      <c r="P92" t="s">
        <v>14</v>
      </c>
      <c r="Q92" t="s">
        <v>15</v>
      </c>
      <c r="R92" t="s">
        <v>21</v>
      </c>
      <c r="S92" t="s">
        <v>245</v>
      </c>
      <c r="T92" t="s">
        <v>29</v>
      </c>
      <c r="U92" t="s">
        <v>19</v>
      </c>
    </row>
    <row r="93" spans="1:21" x14ac:dyDescent="0.25">
      <c r="A93" s="5">
        <v>91</v>
      </c>
      <c r="B93" s="5">
        <v>261091</v>
      </c>
      <c r="C93" s="7" t="s">
        <v>246</v>
      </c>
      <c r="D93" s="5">
        <v>60618592</v>
      </c>
      <c r="E93" s="5" t="s">
        <v>71</v>
      </c>
      <c r="F93" s="5"/>
      <c r="G93" s="5"/>
      <c r="H93" s="5"/>
      <c r="I93" s="6" t="s">
        <v>659</v>
      </c>
      <c r="J93" s="3" t="str">
        <f t="shared" si="1"/>
        <v>X</v>
      </c>
      <c r="K93">
        <v>30</v>
      </c>
      <c r="L93">
        <v>30</v>
      </c>
      <c r="M93" t="s">
        <v>14</v>
      </c>
      <c r="N93" t="s">
        <v>15</v>
      </c>
      <c r="O93" t="s">
        <v>16</v>
      </c>
      <c r="P93" t="s">
        <v>14</v>
      </c>
      <c r="Q93" t="s">
        <v>15</v>
      </c>
      <c r="R93" t="s">
        <v>96</v>
      </c>
      <c r="S93" t="s">
        <v>245</v>
      </c>
      <c r="T93" t="s">
        <v>29</v>
      </c>
      <c r="U93" t="s">
        <v>46</v>
      </c>
    </row>
    <row r="94" spans="1:21" x14ac:dyDescent="0.25">
      <c r="A94" s="5">
        <v>92</v>
      </c>
      <c r="B94" s="5">
        <v>261092</v>
      </c>
      <c r="C94" s="7" t="s">
        <v>247</v>
      </c>
      <c r="D94" s="5">
        <v>61376491</v>
      </c>
      <c r="E94" s="5" t="s">
        <v>37</v>
      </c>
      <c r="F94" s="5"/>
      <c r="G94" s="5"/>
      <c r="H94" s="5"/>
      <c r="I94" s="6" t="s">
        <v>658</v>
      </c>
      <c r="J94" s="3" t="str">
        <f t="shared" si="1"/>
        <v/>
      </c>
      <c r="M94" t="s">
        <v>14</v>
      </c>
      <c r="N94" t="s">
        <v>15</v>
      </c>
      <c r="O94" t="s">
        <v>21</v>
      </c>
      <c r="P94" t="s">
        <v>14</v>
      </c>
      <c r="Q94" t="s">
        <v>15</v>
      </c>
      <c r="R94" t="s">
        <v>21</v>
      </c>
      <c r="S94" t="s">
        <v>248</v>
      </c>
      <c r="T94" t="s">
        <v>29</v>
      </c>
      <c r="U94" t="s">
        <v>19</v>
      </c>
    </row>
    <row r="95" spans="1:21" x14ac:dyDescent="0.25">
      <c r="A95" s="5">
        <v>93</v>
      </c>
      <c r="B95" s="5">
        <v>261093</v>
      </c>
      <c r="C95" s="7" t="s">
        <v>249</v>
      </c>
      <c r="D95" s="5">
        <v>62528770</v>
      </c>
      <c r="E95" s="5" t="s">
        <v>80</v>
      </c>
      <c r="F95" s="5"/>
      <c r="G95" s="5"/>
      <c r="H95" s="5"/>
      <c r="I95" s="6" t="s">
        <v>659</v>
      </c>
      <c r="J95" s="3" t="str">
        <f t="shared" si="1"/>
        <v>X</v>
      </c>
      <c r="K95">
        <v>30</v>
      </c>
      <c r="L95">
        <v>30</v>
      </c>
      <c r="M95" t="s">
        <v>14</v>
      </c>
      <c r="N95" t="s">
        <v>15</v>
      </c>
      <c r="O95" t="s">
        <v>16</v>
      </c>
      <c r="P95" t="s">
        <v>14</v>
      </c>
      <c r="Q95" t="s">
        <v>15</v>
      </c>
      <c r="R95" t="s">
        <v>59</v>
      </c>
      <c r="S95" t="s">
        <v>136</v>
      </c>
      <c r="T95" t="s">
        <v>18</v>
      </c>
      <c r="U95" t="s">
        <v>19</v>
      </c>
    </row>
    <row r="96" spans="1:21" x14ac:dyDescent="0.25">
      <c r="A96" s="5">
        <v>94</v>
      </c>
      <c r="B96" s="5">
        <v>261094</v>
      </c>
      <c r="C96" s="7" t="s">
        <v>250</v>
      </c>
      <c r="D96" s="5">
        <v>61347489</v>
      </c>
      <c r="E96" s="5" t="s">
        <v>13</v>
      </c>
      <c r="F96" s="5"/>
      <c r="G96" s="5"/>
      <c r="H96" s="5"/>
      <c r="I96" s="6" t="s">
        <v>659</v>
      </c>
      <c r="J96" s="3" t="str">
        <f t="shared" si="1"/>
        <v>X</v>
      </c>
      <c r="K96">
        <v>30</v>
      </c>
      <c r="L96">
        <v>30</v>
      </c>
      <c r="M96" t="s">
        <v>14</v>
      </c>
      <c r="N96" t="s">
        <v>15</v>
      </c>
      <c r="O96" t="s">
        <v>16</v>
      </c>
      <c r="P96" t="s">
        <v>14</v>
      </c>
      <c r="Q96" t="s">
        <v>15</v>
      </c>
      <c r="R96" t="s">
        <v>96</v>
      </c>
      <c r="S96" t="s">
        <v>251</v>
      </c>
      <c r="T96" t="s">
        <v>29</v>
      </c>
      <c r="U96" t="s">
        <v>19</v>
      </c>
    </row>
    <row r="97" spans="1:21" x14ac:dyDescent="0.25">
      <c r="A97" s="5">
        <v>95</v>
      </c>
      <c r="B97" s="5">
        <v>261095</v>
      </c>
      <c r="C97" s="7" t="s">
        <v>252</v>
      </c>
      <c r="D97" s="5">
        <v>60323445</v>
      </c>
      <c r="E97" s="5" t="s">
        <v>13</v>
      </c>
      <c r="F97" s="5"/>
      <c r="G97" s="5"/>
      <c r="H97" s="5"/>
      <c r="I97" s="6" t="s">
        <v>659</v>
      </c>
      <c r="J97" s="3" t="str">
        <f t="shared" si="1"/>
        <v>X</v>
      </c>
      <c r="K97">
        <v>30</v>
      </c>
      <c r="L97">
        <v>30</v>
      </c>
      <c r="M97" t="s">
        <v>14</v>
      </c>
      <c r="N97" t="s">
        <v>31</v>
      </c>
      <c r="O97" t="s">
        <v>253</v>
      </c>
      <c r="P97" t="s">
        <v>14</v>
      </c>
      <c r="Q97" t="s">
        <v>15</v>
      </c>
      <c r="R97" t="s">
        <v>16</v>
      </c>
      <c r="S97" t="s">
        <v>254</v>
      </c>
      <c r="T97" t="s">
        <v>29</v>
      </c>
      <c r="U97" t="s">
        <v>46</v>
      </c>
    </row>
    <row r="98" spans="1:21" x14ac:dyDescent="0.25">
      <c r="A98" s="5">
        <v>96</v>
      </c>
      <c r="B98" s="5">
        <v>261096</v>
      </c>
      <c r="C98" s="7" t="s">
        <v>255</v>
      </c>
      <c r="D98" s="5">
        <v>61269084</v>
      </c>
      <c r="E98" s="5" t="s">
        <v>37</v>
      </c>
      <c r="F98" s="5"/>
      <c r="G98" s="5"/>
      <c r="H98" s="5"/>
      <c r="I98" s="6" t="s">
        <v>659</v>
      </c>
      <c r="J98" s="3" t="str">
        <f t="shared" si="1"/>
        <v>X</v>
      </c>
      <c r="K98">
        <v>30</v>
      </c>
      <c r="L98">
        <v>30</v>
      </c>
      <c r="M98" t="s">
        <v>14</v>
      </c>
      <c r="N98" t="s">
        <v>15</v>
      </c>
      <c r="O98" t="s">
        <v>21</v>
      </c>
      <c r="P98" t="s">
        <v>14</v>
      </c>
      <c r="Q98" t="s">
        <v>15</v>
      </c>
      <c r="R98" t="s">
        <v>21</v>
      </c>
      <c r="S98" t="s">
        <v>256</v>
      </c>
      <c r="T98" t="s">
        <v>18</v>
      </c>
      <c r="U98" t="s">
        <v>19</v>
      </c>
    </row>
    <row r="99" spans="1:21" x14ac:dyDescent="0.25">
      <c r="A99" s="5">
        <v>97</v>
      </c>
      <c r="B99" s="5">
        <v>261097</v>
      </c>
      <c r="C99" s="7" t="s">
        <v>257</v>
      </c>
      <c r="D99" s="5">
        <v>60071771</v>
      </c>
      <c r="E99" s="5" t="s">
        <v>27</v>
      </c>
      <c r="F99" s="5"/>
      <c r="G99" s="5"/>
      <c r="H99" s="5"/>
      <c r="I99" s="6" t="s">
        <v>659</v>
      </c>
      <c r="J99" s="3" t="str">
        <f t="shared" si="1"/>
        <v>X</v>
      </c>
      <c r="K99">
        <v>30</v>
      </c>
      <c r="L99">
        <v>30</v>
      </c>
      <c r="M99" t="s">
        <v>41</v>
      </c>
      <c r="N99" t="s">
        <v>42</v>
      </c>
      <c r="O99" t="s">
        <v>258</v>
      </c>
      <c r="P99" t="s">
        <v>14</v>
      </c>
      <c r="Q99" t="s">
        <v>15</v>
      </c>
      <c r="R99" t="s">
        <v>59</v>
      </c>
      <c r="S99" t="s">
        <v>259</v>
      </c>
      <c r="T99" t="s">
        <v>29</v>
      </c>
      <c r="U99" t="s">
        <v>19</v>
      </c>
    </row>
    <row r="100" spans="1:21" x14ac:dyDescent="0.25">
      <c r="A100" s="5">
        <v>98</v>
      </c>
      <c r="B100" s="5">
        <v>261098</v>
      </c>
      <c r="C100" s="7" t="s">
        <v>260</v>
      </c>
      <c r="D100" s="5">
        <v>72830781</v>
      </c>
      <c r="E100" s="5" t="s">
        <v>80</v>
      </c>
      <c r="F100" s="5"/>
      <c r="G100" s="5"/>
      <c r="H100" s="5"/>
      <c r="I100" s="6" t="s">
        <v>659</v>
      </c>
      <c r="J100" s="3" t="str">
        <f t="shared" si="1"/>
        <v>X</v>
      </c>
      <c r="K100">
        <v>30</v>
      </c>
      <c r="L100">
        <v>30</v>
      </c>
      <c r="M100" t="s">
        <v>14</v>
      </c>
      <c r="N100" t="s">
        <v>52</v>
      </c>
      <c r="O100" t="s">
        <v>226</v>
      </c>
      <c r="P100" t="s">
        <v>14</v>
      </c>
      <c r="Q100" t="s">
        <v>15</v>
      </c>
      <c r="R100" t="s">
        <v>96</v>
      </c>
      <c r="S100" t="s">
        <v>45</v>
      </c>
      <c r="T100" t="s">
        <v>29</v>
      </c>
      <c r="U100" t="s">
        <v>19</v>
      </c>
    </row>
    <row r="101" spans="1:21" x14ac:dyDescent="0.25">
      <c r="A101" s="5">
        <v>99</v>
      </c>
      <c r="B101" s="5">
        <v>261099</v>
      </c>
      <c r="C101" s="7" t="s">
        <v>261</v>
      </c>
      <c r="D101" s="5">
        <v>61518608</v>
      </c>
      <c r="E101" s="5" t="s">
        <v>71</v>
      </c>
      <c r="F101" s="5"/>
      <c r="G101" s="5"/>
      <c r="H101" s="5"/>
      <c r="I101" s="6" t="s">
        <v>659</v>
      </c>
      <c r="J101" s="3" t="str">
        <f t="shared" si="1"/>
        <v>X</v>
      </c>
      <c r="K101">
        <v>30</v>
      </c>
      <c r="L101">
        <v>30</v>
      </c>
      <c r="M101" t="s">
        <v>14</v>
      </c>
      <c r="N101" t="s">
        <v>15</v>
      </c>
      <c r="O101" t="s">
        <v>16</v>
      </c>
      <c r="P101" t="s">
        <v>14</v>
      </c>
      <c r="Q101" t="s">
        <v>15</v>
      </c>
      <c r="R101" t="s">
        <v>96</v>
      </c>
      <c r="S101" t="s">
        <v>106</v>
      </c>
      <c r="T101" t="s">
        <v>18</v>
      </c>
      <c r="U101" t="s">
        <v>19</v>
      </c>
    </row>
    <row r="102" spans="1:21" x14ac:dyDescent="0.25">
      <c r="A102" s="5">
        <v>100</v>
      </c>
      <c r="B102" s="5">
        <v>261100</v>
      </c>
      <c r="C102" s="7" t="s">
        <v>262</v>
      </c>
      <c r="D102" s="5">
        <v>61562723</v>
      </c>
      <c r="E102" s="5" t="s">
        <v>37</v>
      </c>
      <c r="F102" s="5"/>
      <c r="G102" s="5"/>
      <c r="H102" s="5"/>
      <c r="I102" s="6" t="s">
        <v>659</v>
      </c>
      <c r="J102" s="3" t="str">
        <f t="shared" si="1"/>
        <v>X</v>
      </c>
      <c r="K102">
        <v>30</v>
      </c>
      <c r="L102">
        <v>30</v>
      </c>
      <c r="M102" t="s">
        <v>14</v>
      </c>
      <c r="N102" t="s">
        <v>15</v>
      </c>
      <c r="O102" t="s">
        <v>16</v>
      </c>
      <c r="P102" t="s">
        <v>14</v>
      </c>
      <c r="Q102" t="s">
        <v>15</v>
      </c>
      <c r="R102" t="s">
        <v>38</v>
      </c>
      <c r="S102" t="s">
        <v>263</v>
      </c>
      <c r="T102" t="s">
        <v>18</v>
      </c>
      <c r="U102" t="s">
        <v>19</v>
      </c>
    </row>
    <row r="103" spans="1:21" x14ac:dyDescent="0.25">
      <c r="A103" s="5">
        <v>101</v>
      </c>
      <c r="B103" s="5">
        <v>261101</v>
      </c>
      <c r="C103" s="7" t="s">
        <v>264</v>
      </c>
      <c r="D103" s="5">
        <v>61309442</v>
      </c>
      <c r="E103" s="5" t="s">
        <v>27</v>
      </c>
      <c r="F103" s="5"/>
      <c r="G103" s="5"/>
      <c r="H103" s="5"/>
      <c r="I103" s="6" t="s">
        <v>659</v>
      </c>
      <c r="J103" s="3" t="str">
        <f t="shared" si="1"/>
        <v>X</v>
      </c>
      <c r="K103">
        <v>30</v>
      </c>
      <c r="L103">
        <v>30</v>
      </c>
      <c r="M103" t="s">
        <v>14</v>
      </c>
      <c r="N103" t="s">
        <v>15</v>
      </c>
      <c r="O103" t="s">
        <v>16</v>
      </c>
      <c r="P103" t="s">
        <v>14</v>
      </c>
      <c r="Q103" t="s">
        <v>15</v>
      </c>
      <c r="R103" t="s">
        <v>16</v>
      </c>
      <c r="S103" t="s">
        <v>265</v>
      </c>
      <c r="T103" t="s">
        <v>29</v>
      </c>
      <c r="U103" t="s">
        <v>19</v>
      </c>
    </row>
    <row r="104" spans="1:21" x14ac:dyDescent="0.25">
      <c r="A104" s="5">
        <v>102</v>
      </c>
      <c r="B104" s="5">
        <v>261102</v>
      </c>
      <c r="C104" s="7" t="s">
        <v>266</v>
      </c>
      <c r="D104" s="5">
        <v>61648425</v>
      </c>
      <c r="E104" s="5" t="s">
        <v>71</v>
      </c>
      <c r="F104" s="5"/>
      <c r="G104" s="5"/>
      <c r="H104" s="5"/>
      <c r="I104" s="6" t="s">
        <v>659</v>
      </c>
      <c r="J104" s="3" t="str">
        <f t="shared" si="1"/>
        <v>X</v>
      </c>
      <c r="K104">
        <v>30</v>
      </c>
      <c r="L104">
        <v>30</v>
      </c>
      <c r="M104" t="s">
        <v>14</v>
      </c>
      <c r="N104" t="s">
        <v>15</v>
      </c>
      <c r="O104" t="s">
        <v>16</v>
      </c>
      <c r="P104" t="s">
        <v>14</v>
      </c>
      <c r="Q104" t="s">
        <v>15</v>
      </c>
      <c r="R104" t="s">
        <v>38</v>
      </c>
      <c r="S104" t="s">
        <v>267</v>
      </c>
      <c r="T104" t="s">
        <v>18</v>
      </c>
      <c r="U104" t="s">
        <v>46</v>
      </c>
    </row>
    <row r="105" spans="1:21" x14ac:dyDescent="0.25">
      <c r="A105" s="5">
        <v>103</v>
      </c>
      <c r="B105" s="5">
        <v>261103</v>
      </c>
      <c r="C105" s="7" t="s">
        <v>268</v>
      </c>
      <c r="D105" s="5">
        <v>61525826</v>
      </c>
      <c r="E105" s="5" t="s">
        <v>13</v>
      </c>
      <c r="F105" s="5"/>
      <c r="G105" s="5"/>
      <c r="H105" s="5"/>
      <c r="I105" s="6" t="s">
        <v>658</v>
      </c>
      <c r="J105" s="3" t="str">
        <f t="shared" si="1"/>
        <v/>
      </c>
      <c r="M105" t="s">
        <v>14</v>
      </c>
      <c r="N105" t="s">
        <v>15</v>
      </c>
      <c r="O105" t="s">
        <v>16</v>
      </c>
      <c r="P105" t="s">
        <v>14</v>
      </c>
      <c r="Q105" t="s">
        <v>15</v>
      </c>
      <c r="R105" t="s">
        <v>16</v>
      </c>
      <c r="S105" t="s">
        <v>269</v>
      </c>
      <c r="T105" t="s">
        <v>29</v>
      </c>
      <c r="U105" t="s">
        <v>19</v>
      </c>
    </row>
    <row r="106" spans="1:21" x14ac:dyDescent="0.25">
      <c r="A106" s="5">
        <v>104</v>
      </c>
      <c r="B106" s="5">
        <v>261104</v>
      </c>
      <c r="C106" s="7" t="s">
        <v>270</v>
      </c>
      <c r="D106" s="5">
        <v>62021116</v>
      </c>
      <c r="E106" s="5" t="s">
        <v>13</v>
      </c>
      <c r="F106" s="5"/>
      <c r="G106" s="5"/>
      <c r="H106" s="5"/>
      <c r="I106" s="6" t="s">
        <v>659</v>
      </c>
      <c r="J106" s="3" t="str">
        <f t="shared" si="1"/>
        <v>X</v>
      </c>
      <c r="K106">
        <v>30</v>
      </c>
      <c r="L106">
        <v>30</v>
      </c>
      <c r="M106" t="s">
        <v>41</v>
      </c>
      <c r="N106" t="s">
        <v>42</v>
      </c>
      <c r="O106" t="s">
        <v>44</v>
      </c>
      <c r="P106" t="s">
        <v>41</v>
      </c>
      <c r="Q106" t="s">
        <v>42</v>
      </c>
      <c r="R106" t="s">
        <v>44</v>
      </c>
      <c r="S106" t="s">
        <v>271</v>
      </c>
      <c r="T106" t="s">
        <v>18</v>
      </c>
      <c r="U106" t="s">
        <v>19</v>
      </c>
    </row>
    <row r="107" spans="1:21" x14ac:dyDescent="0.25">
      <c r="A107" s="5">
        <v>105</v>
      </c>
      <c r="B107" s="5">
        <v>261105</v>
      </c>
      <c r="C107" s="7" t="s">
        <v>272</v>
      </c>
      <c r="D107" s="5">
        <v>61085875</v>
      </c>
      <c r="E107" s="5" t="s">
        <v>71</v>
      </c>
      <c r="F107" s="5"/>
      <c r="G107" s="5"/>
      <c r="H107" s="5"/>
      <c r="I107" s="6" t="s">
        <v>659</v>
      </c>
      <c r="J107" s="3" t="str">
        <f t="shared" si="1"/>
        <v>X</v>
      </c>
      <c r="K107">
        <v>30</v>
      </c>
      <c r="L107">
        <v>30</v>
      </c>
      <c r="M107" t="s">
        <v>14</v>
      </c>
      <c r="N107" t="s">
        <v>15</v>
      </c>
      <c r="O107" t="s">
        <v>16</v>
      </c>
      <c r="P107" t="s">
        <v>14</v>
      </c>
      <c r="Q107" t="s">
        <v>15</v>
      </c>
      <c r="R107" t="s">
        <v>24</v>
      </c>
      <c r="S107" t="s">
        <v>273</v>
      </c>
      <c r="T107" t="s">
        <v>18</v>
      </c>
      <c r="U107" t="s">
        <v>19</v>
      </c>
    </row>
    <row r="108" spans="1:21" x14ac:dyDescent="0.25">
      <c r="A108" s="5">
        <v>106</v>
      </c>
      <c r="B108" s="5">
        <v>261106</v>
      </c>
      <c r="C108" s="7" t="s">
        <v>274</v>
      </c>
      <c r="D108" s="5">
        <v>61507639</v>
      </c>
      <c r="E108" s="5" t="s">
        <v>37</v>
      </c>
      <c r="F108" s="5"/>
      <c r="G108" s="5"/>
      <c r="H108" s="5"/>
      <c r="I108" s="6" t="s">
        <v>659</v>
      </c>
      <c r="J108" s="3" t="str">
        <f t="shared" si="1"/>
        <v>X</v>
      </c>
      <c r="K108">
        <v>30</v>
      </c>
      <c r="L108">
        <v>30</v>
      </c>
      <c r="M108" t="s">
        <v>14</v>
      </c>
      <c r="N108" t="s">
        <v>15</v>
      </c>
      <c r="O108" t="s">
        <v>16</v>
      </c>
      <c r="P108" t="s">
        <v>14</v>
      </c>
      <c r="Q108" t="s">
        <v>15</v>
      </c>
      <c r="R108" t="s">
        <v>24</v>
      </c>
      <c r="S108" t="s">
        <v>275</v>
      </c>
      <c r="T108" t="s">
        <v>18</v>
      </c>
      <c r="U108" t="s">
        <v>19</v>
      </c>
    </row>
    <row r="109" spans="1:21" x14ac:dyDescent="0.25">
      <c r="A109" s="5">
        <v>107</v>
      </c>
      <c r="B109" s="5">
        <v>261107</v>
      </c>
      <c r="C109" s="7" t="s">
        <v>276</v>
      </c>
      <c r="D109" s="5">
        <v>61030591</v>
      </c>
      <c r="E109" s="5" t="s">
        <v>80</v>
      </c>
      <c r="F109" s="5"/>
      <c r="G109" s="5"/>
      <c r="H109" s="5"/>
      <c r="I109" s="6" t="s">
        <v>659</v>
      </c>
      <c r="J109" s="3" t="str">
        <f t="shared" si="1"/>
        <v>X</v>
      </c>
      <c r="K109">
        <v>30</v>
      </c>
      <c r="L109">
        <v>30</v>
      </c>
      <c r="M109" t="s">
        <v>14</v>
      </c>
      <c r="N109" t="s">
        <v>15</v>
      </c>
      <c r="O109" t="s">
        <v>16</v>
      </c>
      <c r="P109" t="s">
        <v>14</v>
      </c>
      <c r="Q109" t="s">
        <v>15</v>
      </c>
      <c r="R109" t="s">
        <v>96</v>
      </c>
      <c r="S109" t="s">
        <v>277</v>
      </c>
      <c r="T109" t="s">
        <v>29</v>
      </c>
      <c r="U109" t="s">
        <v>19</v>
      </c>
    </row>
    <row r="110" spans="1:21" x14ac:dyDescent="0.25">
      <c r="A110" s="5">
        <v>108</v>
      </c>
      <c r="B110" s="5">
        <v>261108</v>
      </c>
      <c r="C110" s="7" t="s">
        <v>278</v>
      </c>
      <c r="D110" s="5">
        <v>60669763</v>
      </c>
      <c r="E110" s="5" t="s">
        <v>13</v>
      </c>
      <c r="F110" s="5"/>
      <c r="G110" s="5"/>
      <c r="H110" s="5"/>
      <c r="I110" s="6" t="s">
        <v>659</v>
      </c>
      <c r="J110" s="3" t="str">
        <f t="shared" si="1"/>
        <v>X</v>
      </c>
      <c r="K110">
        <v>30</v>
      </c>
      <c r="L110">
        <v>30</v>
      </c>
      <c r="M110" t="s">
        <v>14</v>
      </c>
      <c r="N110" t="s">
        <v>15</v>
      </c>
      <c r="O110" t="s">
        <v>110</v>
      </c>
      <c r="P110" t="s">
        <v>14</v>
      </c>
      <c r="Q110" t="s">
        <v>15</v>
      </c>
      <c r="R110" t="s">
        <v>110</v>
      </c>
      <c r="S110" t="s">
        <v>279</v>
      </c>
      <c r="T110" t="s">
        <v>29</v>
      </c>
      <c r="U110" t="s">
        <v>78</v>
      </c>
    </row>
    <row r="111" spans="1:21" x14ac:dyDescent="0.25">
      <c r="A111" s="5">
        <v>109</v>
      </c>
      <c r="B111" s="5">
        <v>261109</v>
      </c>
      <c r="C111" s="7" t="s">
        <v>280</v>
      </c>
      <c r="D111" s="5">
        <v>61779513</v>
      </c>
      <c r="E111" s="5" t="s">
        <v>13</v>
      </c>
      <c r="F111" s="5"/>
      <c r="G111" s="5"/>
      <c r="H111" s="5"/>
      <c r="I111" s="6" t="s">
        <v>659</v>
      </c>
      <c r="J111" s="3" t="str">
        <f t="shared" si="1"/>
        <v>X</v>
      </c>
      <c r="K111">
        <v>30</v>
      </c>
      <c r="L111">
        <v>30</v>
      </c>
      <c r="M111" t="s">
        <v>14</v>
      </c>
      <c r="N111" t="s">
        <v>15</v>
      </c>
      <c r="O111" t="s">
        <v>16</v>
      </c>
      <c r="P111" t="s">
        <v>14</v>
      </c>
      <c r="Q111" t="s">
        <v>15</v>
      </c>
      <c r="R111" t="s">
        <v>16</v>
      </c>
      <c r="S111" t="s">
        <v>281</v>
      </c>
      <c r="T111" t="s">
        <v>29</v>
      </c>
      <c r="U111" t="s">
        <v>46</v>
      </c>
    </row>
    <row r="112" spans="1:21" x14ac:dyDescent="0.25">
      <c r="A112" s="5">
        <v>110</v>
      </c>
      <c r="B112" s="5">
        <v>261110</v>
      </c>
      <c r="C112" s="7" t="s">
        <v>282</v>
      </c>
      <c r="D112" s="5">
        <v>61443781</v>
      </c>
      <c r="E112" s="5" t="s">
        <v>13</v>
      </c>
      <c r="F112" s="5"/>
      <c r="G112" s="5"/>
      <c r="H112" s="5"/>
      <c r="I112" s="6" t="s">
        <v>659</v>
      </c>
      <c r="J112" s="3" t="str">
        <f t="shared" si="1"/>
        <v>X</v>
      </c>
      <c r="K112">
        <v>30</v>
      </c>
      <c r="L112">
        <v>30</v>
      </c>
      <c r="M112" t="s">
        <v>14</v>
      </c>
      <c r="N112" t="s">
        <v>15</v>
      </c>
      <c r="O112" t="s">
        <v>24</v>
      </c>
      <c r="P112" t="s">
        <v>14</v>
      </c>
      <c r="Q112" t="s">
        <v>15</v>
      </c>
      <c r="R112" t="s">
        <v>24</v>
      </c>
      <c r="S112" t="s">
        <v>283</v>
      </c>
      <c r="T112" t="s">
        <v>29</v>
      </c>
      <c r="U112" t="s">
        <v>19</v>
      </c>
    </row>
    <row r="113" spans="1:21" x14ac:dyDescent="0.25">
      <c r="A113" s="5">
        <v>111</v>
      </c>
      <c r="B113" s="5">
        <v>261111</v>
      </c>
      <c r="C113" s="7" t="s">
        <v>284</v>
      </c>
      <c r="D113" s="5">
        <v>60301655</v>
      </c>
      <c r="E113" s="5" t="s">
        <v>13</v>
      </c>
      <c r="F113" s="5"/>
      <c r="G113" s="5"/>
      <c r="H113" s="5"/>
      <c r="I113" s="6" t="s">
        <v>659</v>
      </c>
      <c r="J113" s="3" t="str">
        <f t="shared" si="1"/>
        <v>X</v>
      </c>
      <c r="K113">
        <v>30</v>
      </c>
      <c r="L113">
        <v>30</v>
      </c>
      <c r="M113" t="s">
        <v>14</v>
      </c>
      <c r="N113" t="s">
        <v>15</v>
      </c>
      <c r="O113" t="s">
        <v>38</v>
      </c>
      <c r="P113" t="s">
        <v>14</v>
      </c>
      <c r="Q113" t="s">
        <v>15</v>
      </c>
      <c r="R113" t="s">
        <v>24</v>
      </c>
      <c r="S113" t="s">
        <v>285</v>
      </c>
      <c r="T113" t="s">
        <v>18</v>
      </c>
      <c r="U113" t="s">
        <v>19</v>
      </c>
    </row>
    <row r="114" spans="1:21" x14ac:dyDescent="0.25">
      <c r="A114" s="5">
        <v>112</v>
      </c>
      <c r="B114" s="5">
        <v>261112</v>
      </c>
      <c r="C114" s="7" t="s">
        <v>286</v>
      </c>
      <c r="D114" s="5">
        <v>61525677</v>
      </c>
      <c r="E114" s="5" t="s">
        <v>80</v>
      </c>
      <c r="F114" s="5"/>
      <c r="G114" s="5"/>
      <c r="H114" s="5"/>
      <c r="I114" s="6" t="s">
        <v>659</v>
      </c>
      <c r="J114" s="3" t="str">
        <f t="shared" si="1"/>
        <v>X</v>
      </c>
      <c r="K114">
        <v>30</v>
      </c>
      <c r="L114">
        <v>30</v>
      </c>
      <c r="M114" t="s">
        <v>14</v>
      </c>
      <c r="N114" t="s">
        <v>15</v>
      </c>
      <c r="O114" t="s">
        <v>87</v>
      </c>
      <c r="P114" t="s">
        <v>14</v>
      </c>
      <c r="Q114" t="s">
        <v>15</v>
      </c>
      <c r="R114" t="s">
        <v>87</v>
      </c>
      <c r="S114" t="s">
        <v>287</v>
      </c>
      <c r="T114" t="s">
        <v>29</v>
      </c>
      <c r="U114" t="s">
        <v>19</v>
      </c>
    </row>
    <row r="115" spans="1:21" x14ac:dyDescent="0.25">
      <c r="A115" s="5">
        <v>113</v>
      </c>
      <c r="B115" s="5">
        <v>261113</v>
      </c>
      <c r="C115" s="7" t="s">
        <v>288</v>
      </c>
      <c r="D115" s="5">
        <v>61443725</v>
      </c>
      <c r="E115" s="5" t="s">
        <v>71</v>
      </c>
      <c r="F115" s="5"/>
      <c r="G115" s="5"/>
      <c r="H115" s="5"/>
      <c r="I115" s="6" t="s">
        <v>659</v>
      </c>
      <c r="J115" s="3" t="str">
        <f t="shared" si="1"/>
        <v>X</v>
      </c>
      <c r="K115">
        <v>30</v>
      </c>
      <c r="L115">
        <v>30</v>
      </c>
      <c r="M115" t="s">
        <v>14</v>
      </c>
      <c r="N115" t="s">
        <v>15</v>
      </c>
      <c r="O115" t="s">
        <v>16</v>
      </c>
      <c r="P115" t="s">
        <v>14</v>
      </c>
      <c r="Q115" t="s">
        <v>15</v>
      </c>
      <c r="R115" t="s">
        <v>16</v>
      </c>
      <c r="S115" t="s">
        <v>289</v>
      </c>
      <c r="T115" t="s">
        <v>18</v>
      </c>
      <c r="U115" t="s">
        <v>19</v>
      </c>
    </row>
    <row r="116" spans="1:21" x14ac:dyDescent="0.25">
      <c r="A116" s="5">
        <v>114</v>
      </c>
      <c r="B116" s="5">
        <v>261114</v>
      </c>
      <c r="C116" s="7" t="s">
        <v>290</v>
      </c>
      <c r="D116" s="5">
        <v>61443738</v>
      </c>
      <c r="E116" s="5" t="s">
        <v>80</v>
      </c>
      <c r="F116" s="5"/>
      <c r="G116" s="5"/>
      <c r="H116" s="5"/>
      <c r="I116" s="6" t="s">
        <v>659</v>
      </c>
      <c r="J116" s="3" t="str">
        <f t="shared" si="1"/>
        <v>X</v>
      </c>
      <c r="K116">
        <v>30</v>
      </c>
      <c r="L116">
        <v>30</v>
      </c>
      <c r="M116" t="s">
        <v>14</v>
      </c>
      <c r="N116" t="s">
        <v>15</v>
      </c>
      <c r="O116" t="s">
        <v>16</v>
      </c>
      <c r="P116" t="s">
        <v>14</v>
      </c>
      <c r="Q116" t="s">
        <v>15</v>
      </c>
      <c r="R116" t="s">
        <v>16</v>
      </c>
      <c r="S116" t="s">
        <v>291</v>
      </c>
      <c r="T116" t="s">
        <v>18</v>
      </c>
      <c r="U116" t="s">
        <v>19</v>
      </c>
    </row>
    <row r="117" spans="1:21" x14ac:dyDescent="0.25">
      <c r="A117" s="5">
        <v>115</v>
      </c>
      <c r="B117" s="5">
        <v>261115</v>
      </c>
      <c r="C117" s="7" t="s">
        <v>292</v>
      </c>
      <c r="D117" s="5">
        <v>62051919</v>
      </c>
      <c r="E117" s="5" t="s">
        <v>71</v>
      </c>
      <c r="F117" s="5"/>
      <c r="G117" s="5"/>
      <c r="H117" s="5"/>
      <c r="I117" s="6" t="s">
        <v>658</v>
      </c>
      <c r="J117" s="3" t="str">
        <f t="shared" si="1"/>
        <v/>
      </c>
      <c r="M117" t="s">
        <v>14</v>
      </c>
      <c r="N117" t="s">
        <v>15</v>
      </c>
      <c r="O117" t="s">
        <v>21</v>
      </c>
      <c r="P117" t="s">
        <v>14</v>
      </c>
      <c r="Q117" t="s">
        <v>15</v>
      </c>
      <c r="R117" t="s">
        <v>21</v>
      </c>
      <c r="S117" t="s">
        <v>92</v>
      </c>
      <c r="T117" t="s">
        <v>29</v>
      </c>
      <c r="U117" t="s">
        <v>19</v>
      </c>
    </row>
    <row r="118" spans="1:21" x14ac:dyDescent="0.25">
      <c r="A118" s="5">
        <v>116</v>
      </c>
      <c r="B118" s="5">
        <v>261116</v>
      </c>
      <c r="C118" s="7" t="s">
        <v>293</v>
      </c>
      <c r="D118" s="5">
        <v>60383208</v>
      </c>
      <c r="E118" s="5" t="s">
        <v>37</v>
      </c>
      <c r="F118" s="5"/>
      <c r="G118" s="5"/>
      <c r="H118" s="5"/>
      <c r="I118" s="6" t="s">
        <v>659</v>
      </c>
      <c r="J118" s="3" t="str">
        <f t="shared" si="1"/>
        <v>X</v>
      </c>
      <c r="K118">
        <v>30</v>
      </c>
      <c r="L118">
        <v>30</v>
      </c>
      <c r="M118" t="s">
        <v>14</v>
      </c>
      <c r="N118" t="s">
        <v>15</v>
      </c>
      <c r="O118" t="s">
        <v>16</v>
      </c>
      <c r="P118" t="s">
        <v>14</v>
      </c>
      <c r="Q118" t="s">
        <v>15</v>
      </c>
      <c r="R118" t="s">
        <v>38</v>
      </c>
      <c r="S118" t="s">
        <v>294</v>
      </c>
      <c r="T118" t="s">
        <v>18</v>
      </c>
      <c r="U118" t="s">
        <v>46</v>
      </c>
    </row>
    <row r="119" spans="1:21" x14ac:dyDescent="0.25">
      <c r="A119" s="5">
        <v>117</v>
      </c>
      <c r="B119" s="5">
        <v>261117</v>
      </c>
      <c r="C119" s="7" t="s">
        <v>295</v>
      </c>
      <c r="D119" s="5">
        <v>70396532</v>
      </c>
      <c r="E119" s="5" t="s">
        <v>71</v>
      </c>
      <c r="F119" s="5"/>
      <c r="G119" s="5"/>
      <c r="H119" s="5"/>
      <c r="I119" s="6" t="s">
        <v>659</v>
      </c>
      <c r="J119" s="3" t="str">
        <f t="shared" si="1"/>
        <v>X</v>
      </c>
      <c r="K119">
        <v>30</v>
      </c>
      <c r="L119">
        <v>30</v>
      </c>
      <c r="M119" t="s">
        <v>14</v>
      </c>
      <c r="N119" t="s">
        <v>15</v>
      </c>
      <c r="O119" t="s">
        <v>59</v>
      </c>
      <c r="P119" t="s">
        <v>14</v>
      </c>
      <c r="Q119" t="s">
        <v>15</v>
      </c>
      <c r="R119" t="s">
        <v>59</v>
      </c>
      <c r="S119" t="s">
        <v>296</v>
      </c>
      <c r="T119" t="s">
        <v>18</v>
      </c>
      <c r="U119" t="s">
        <v>19</v>
      </c>
    </row>
    <row r="120" spans="1:21" x14ac:dyDescent="0.25">
      <c r="A120" s="5">
        <v>118</v>
      </c>
      <c r="B120" s="5">
        <v>261118</v>
      </c>
      <c r="C120" s="7" t="s">
        <v>297</v>
      </c>
      <c r="D120" s="5">
        <v>61443656</v>
      </c>
      <c r="E120" s="5" t="s">
        <v>80</v>
      </c>
      <c r="F120" s="5"/>
      <c r="G120" s="5"/>
      <c r="H120" s="5"/>
      <c r="I120" s="6" t="s">
        <v>659</v>
      </c>
      <c r="J120" s="3" t="str">
        <f t="shared" si="1"/>
        <v>X</v>
      </c>
      <c r="K120">
        <v>30</v>
      </c>
      <c r="L120">
        <v>30</v>
      </c>
      <c r="M120" t="s">
        <v>14</v>
      </c>
      <c r="N120" t="s">
        <v>15</v>
      </c>
      <c r="O120" t="s">
        <v>16</v>
      </c>
      <c r="P120" t="s">
        <v>14</v>
      </c>
      <c r="Q120" t="s">
        <v>15</v>
      </c>
      <c r="R120" t="s">
        <v>16</v>
      </c>
      <c r="S120" t="s">
        <v>298</v>
      </c>
      <c r="T120" t="s">
        <v>18</v>
      </c>
      <c r="U120" t="s">
        <v>19</v>
      </c>
    </row>
    <row r="121" spans="1:21" x14ac:dyDescent="0.25">
      <c r="A121" s="5">
        <v>119</v>
      </c>
      <c r="B121" s="5">
        <v>261119</v>
      </c>
      <c r="C121" s="7" t="s">
        <v>299</v>
      </c>
      <c r="D121" s="5">
        <v>61991754</v>
      </c>
      <c r="E121" s="5" t="s">
        <v>37</v>
      </c>
      <c r="F121" s="5"/>
      <c r="G121" s="5"/>
      <c r="H121" s="5"/>
      <c r="I121" s="6" t="s">
        <v>658</v>
      </c>
      <c r="J121" s="3" t="str">
        <f t="shared" si="1"/>
        <v/>
      </c>
      <c r="M121" t="s">
        <v>14</v>
      </c>
      <c r="N121" t="s">
        <v>15</v>
      </c>
      <c r="O121" t="s">
        <v>24</v>
      </c>
      <c r="P121" t="s">
        <v>14</v>
      </c>
      <c r="Q121" t="s">
        <v>15</v>
      </c>
      <c r="R121" t="s">
        <v>24</v>
      </c>
      <c r="S121" t="s">
        <v>300</v>
      </c>
      <c r="T121" t="s">
        <v>29</v>
      </c>
      <c r="U121" t="s">
        <v>46</v>
      </c>
    </row>
    <row r="122" spans="1:21" x14ac:dyDescent="0.25">
      <c r="A122" s="5">
        <v>120</v>
      </c>
      <c r="B122" s="5">
        <v>261120</v>
      </c>
      <c r="C122" s="7" t="s">
        <v>301</v>
      </c>
      <c r="D122" s="5">
        <v>60745078</v>
      </c>
      <c r="E122" s="5" t="s">
        <v>71</v>
      </c>
      <c r="F122" s="5"/>
      <c r="G122" s="5"/>
      <c r="H122" s="5"/>
      <c r="I122" s="6" t="s">
        <v>659</v>
      </c>
      <c r="J122" s="3" t="str">
        <f t="shared" si="1"/>
        <v>X</v>
      </c>
      <c r="K122">
        <v>30</v>
      </c>
      <c r="L122">
        <v>30</v>
      </c>
      <c r="M122" t="s">
        <v>14</v>
      </c>
      <c r="N122" t="s">
        <v>15</v>
      </c>
      <c r="O122" t="s">
        <v>59</v>
      </c>
      <c r="P122" t="s">
        <v>14</v>
      </c>
      <c r="Q122" t="s">
        <v>15</v>
      </c>
      <c r="R122" t="s">
        <v>59</v>
      </c>
      <c r="S122" t="s">
        <v>302</v>
      </c>
      <c r="T122" t="s">
        <v>29</v>
      </c>
      <c r="U122" t="s">
        <v>19</v>
      </c>
    </row>
    <row r="123" spans="1:21" x14ac:dyDescent="0.25">
      <c r="A123" s="5">
        <v>121</v>
      </c>
      <c r="B123" s="5">
        <v>261121</v>
      </c>
      <c r="C123" s="7" t="s">
        <v>303</v>
      </c>
      <c r="D123" s="5">
        <v>76577380</v>
      </c>
      <c r="E123" s="5" t="s">
        <v>80</v>
      </c>
      <c r="F123" s="5"/>
      <c r="G123" s="5"/>
      <c r="H123" s="5"/>
      <c r="I123" s="6" t="s">
        <v>659</v>
      </c>
      <c r="J123" s="3" t="str">
        <f t="shared" si="1"/>
        <v>X</v>
      </c>
      <c r="K123">
        <v>30</v>
      </c>
      <c r="L123">
        <v>30</v>
      </c>
      <c r="M123" t="s">
        <v>14</v>
      </c>
      <c r="N123" t="s">
        <v>15</v>
      </c>
      <c r="O123" t="s">
        <v>21</v>
      </c>
      <c r="P123" t="s">
        <v>14</v>
      </c>
      <c r="Q123" t="s">
        <v>15</v>
      </c>
      <c r="R123" t="s">
        <v>21</v>
      </c>
      <c r="S123" t="s">
        <v>304</v>
      </c>
      <c r="T123" t="s">
        <v>18</v>
      </c>
      <c r="U123" t="s">
        <v>46</v>
      </c>
    </row>
    <row r="124" spans="1:21" x14ac:dyDescent="0.25">
      <c r="A124" s="5">
        <v>122</v>
      </c>
      <c r="B124" s="5">
        <v>261122</v>
      </c>
      <c r="C124" s="7" t="s">
        <v>305</v>
      </c>
      <c r="D124" s="5">
        <v>60371790</v>
      </c>
      <c r="E124" s="5" t="s">
        <v>37</v>
      </c>
      <c r="F124" s="5"/>
      <c r="G124" s="5"/>
      <c r="H124" s="5"/>
      <c r="I124" s="6" t="s">
        <v>659</v>
      </c>
      <c r="J124" s="3" t="str">
        <f t="shared" si="1"/>
        <v>X</v>
      </c>
      <c r="K124">
        <v>30</v>
      </c>
      <c r="L124">
        <v>30</v>
      </c>
      <c r="M124" t="s">
        <v>14</v>
      </c>
      <c r="N124" t="s">
        <v>15</v>
      </c>
      <c r="O124" t="s">
        <v>59</v>
      </c>
      <c r="P124" t="s">
        <v>14</v>
      </c>
      <c r="Q124" t="s">
        <v>15</v>
      </c>
      <c r="R124" t="s">
        <v>59</v>
      </c>
      <c r="S124" t="s">
        <v>306</v>
      </c>
      <c r="T124" t="s">
        <v>18</v>
      </c>
      <c r="U124" t="s">
        <v>19</v>
      </c>
    </row>
    <row r="125" spans="1:21" x14ac:dyDescent="0.25">
      <c r="A125" s="5">
        <v>123</v>
      </c>
      <c r="B125" s="5">
        <v>261123</v>
      </c>
      <c r="C125" s="7" t="s">
        <v>307</v>
      </c>
      <c r="D125" s="5">
        <v>60677783</v>
      </c>
      <c r="E125" s="5" t="s">
        <v>71</v>
      </c>
      <c r="F125" s="5"/>
      <c r="G125" s="5"/>
      <c r="H125" s="5"/>
      <c r="I125" s="6" t="s">
        <v>659</v>
      </c>
      <c r="J125" s="3" t="str">
        <f t="shared" si="1"/>
        <v>X</v>
      </c>
      <c r="K125">
        <v>30</v>
      </c>
      <c r="L125">
        <v>30</v>
      </c>
      <c r="M125" t="s">
        <v>14</v>
      </c>
      <c r="N125" t="s">
        <v>15</v>
      </c>
      <c r="O125" t="s">
        <v>16</v>
      </c>
      <c r="P125" t="s">
        <v>14</v>
      </c>
      <c r="Q125" t="s">
        <v>15</v>
      </c>
      <c r="R125" t="s">
        <v>24</v>
      </c>
      <c r="S125" t="s">
        <v>291</v>
      </c>
      <c r="T125" t="s">
        <v>18</v>
      </c>
      <c r="U125" t="s">
        <v>78</v>
      </c>
    </row>
    <row r="126" spans="1:21" x14ac:dyDescent="0.25">
      <c r="A126" s="5">
        <v>124</v>
      </c>
      <c r="B126" s="5">
        <v>261124</v>
      </c>
      <c r="C126" s="7" t="s">
        <v>308</v>
      </c>
      <c r="D126" s="5">
        <v>62733858</v>
      </c>
      <c r="E126" s="5" t="s">
        <v>113</v>
      </c>
      <c r="F126" s="5"/>
      <c r="G126" s="5"/>
      <c r="H126" s="5"/>
      <c r="I126" s="6" t="s">
        <v>658</v>
      </c>
      <c r="J126" s="3" t="str">
        <f t="shared" si="1"/>
        <v/>
      </c>
      <c r="M126" t="s">
        <v>14</v>
      </c>
      <c r="N126" t="s">
        <v>309</v>
      </c>
      <c r="O126" t="s">
        <v>310</v>
      </c>
      <c r="P126" t="s">
        <v>14</v>
      </c>
      <c r="Q126" t="s">
        <v>15</v>
      </c>
      <c r="R126" t="s">
        <v>21</v>
      </c>
      <c r="S126" t="s">
        <v>311</v>
      </c>
      <c r="T126" t="s">
        <v>29</v>
      </c>
      <c r="U126" t="s">
        <v>46</v>
      </c>
    </row>
    <row r="127" spans="1:21" x14ac:dyDescent="0.25">
      <c r="A127" s="5">
        <v>125</v>
      </c>
      <c r="B127" s="5">
        <v>261125</v>
      </c>
      <c r="C127" s="7" t="s">
        <v>312</v>
      </c>
      <c r="D127" s="5">
        <v>61526014</v>
      </c>
      <c r="E127" s="5" t="s">
        <v>71</v>
      </c>
      <c r="F127" s="5"/>
      <c r="G127" s="5"/>
      <c r="H127" s="5"/>
      <c r="I127" s="6" t="s">
        <v>659</v>
      </c>
      <c r="J127" s="3" t="str">
        <f t="shared" si="1"/>
        <v>X</v>
      </c>
      <c r="K127">
        <v>30</v>
      </c>
      <c r="L127">
        <v>30</v>
      </c>
      <c r="M127" t="s">
        <v>14</v>
      </c>
      <c r="N127" t="s">
        <v>15</v>
      </c>
      <c r="O127" t="s">
        <v>16</v>
      </c>
      <c r="P127" t="s">
        <v>14</v>
      </c>
      <c r="Q127" t="s">
        <v>15</v>
      </c>
      <c r="R127" t="s">
        <v>16</v>
      </c>
      <c r="S127" t="s">
        <v>313</v>
      </c>
      <c r="T127" t="s">
        <v>18</v>
      </c>
      <c r="U127" t="s">
        <v>19</v>
      </c>
    </row>
    <row r="128" spans="1:21" x14ac:dyDescent="0.25">
      <c r="A128" s="5">
        <v>126</v>
      </c>
      <c r="B128" s="5">
        <v>261126</v>
      </c>
      <c r="C128" s="7" t="s">
        <v>314</v>
      </c>
      <c r="D128" s="5">
        <v>61525703</v>
      </c>
      <c r="E128" s="5" t="s">
        <v>37</v>
      </c>
      <c r="F128" s="5"/>
      <c r="G128" s="5"/>
      <c r="H128" s="5"/>
      <c r="I128" s="6" t="s">
        <v>658</v>
      </c>
      <c r="J128" s="3" t="str">
        <f t="shared" si="1"/>
        <v/>
      </c>
      <c r="M128" t="s">
        <v>14</v>
      </c>
      <c r="N128" t="s">
        <v>15</v>
      </c>
      <c r="O128" t="s">
        <v>16</v>
      </c>
      <c r="P128" t="s">
        <v>14</v>
      </c>
      <c r="Q128" t="s">
        <v>15</v>
      </c>
      <c r="R128" t="s">
        <v>16</v>
      </c>
      <c r="S128" t="s">
        <v>315</v>
      </c>
      <c r="T128" t="s">
        <v>18</v>
      </c>
      <c r="U128" t="s">
        <v>78</v>
      </c>
    </row>
    <row r="129" spans="1:21" x14ac:dyDescent="0.25">
      <c r="A129" s="5">
        <v>127</v>
      </c>
      <c r="B129" s="5">
        <v>261127</v>
      </c>
      <c r="C129" s="7" t="s">
        <v>316</v>
      </c>
      <c r="D129" s="5">
        <v>61443796</v>
      </c>
      <c r="E129" s="5" t="s">
        <v>13</v>
      </c>
      <c r="F129" s="5"/>
      <c r="G129" s="5"/>
      <c r="H129" s="5"/>
      <c r="I129" s="6" t="s">
        <v>659</v>
      </c>
      <c r="J129" s="3" t="str">
        <f t="shared" si="1"/>
        <v>X</v>
      </c>
      <c r="K129">
        <v>30</v>
      </c>
      <c r="L129">
        <v>30</v>
      </c>
      <c r="M129" t="s">
        <v>14</v>
      </c>
      <c r="N129" t="s">
        <v>15</v>
      </c>
      <c r="O129" t="s">
        <v>16</v>
      </c>
      <c r="P129" t="s">
        <v>14</v>
      </c>
      <c r="Q129" t="s">
        <v>15</v>
      </c>
      <c r="R129" t="s">
        <v>16</v>
      </c>
      <c r="S129" t="s">
        <v>317</v>
      </c>
      <c r="T129" t="s">
        <v>29</v>
      </c>
      <c r="U129" t="s">
        <v>19</v>
      </c>
    </row>
    <row r="130" spans="1:21" x14ac:dyDescent="0.25">
      <c r="A130" s="5">
        <v>128</v>
      </c>
      <c r="B130" s="5">
        <v>261128</v>
      </c>
      <c r="C130" s="7" t="s">
        <v>318</v>
      </c>
      <c r="D130" s="5">
        <v>61583822</v>
      </c>
      <c r="E130" s="5" t="s">
        <v>37</v>
      </c>
      <c r="F130" s="5"/>
      <c r="G130" s="5"/>
      <c r="H130" s="5"/>
      <c r="I130" s="6" t="s">
        <v>659</v>
      </c>
      <c r="J130" s="3" t="str">
        <f t="shared" si="1"/>
        <v>X</v>
      </c>
      <c r="K130">
        <v>30</v>
      </c>
      <c r="L130">
        <v>30</v>
      </c>
      <c r="M130" t="s">
        <v>14</v>
      </c>
      <c r="N130" t="s">
        <v>15</v>
      </c>
      <c r="O130" t="s">
        <v>21</v>
      </c>
      <c r="P130" t="s">
        <v>14</v>
      </c>
      <c r="Q130" t="s">
        <v>15</v>
      </c>
      <c r="R130" t="s">
        <v>59</v>
      </c>
      <c r="S130" t="s">
        <v>319</v>
      </c>
      <c r="T130" t="s">
        <v>18</v>
      </c>
      <c r="U130" t="s">
        <v>19</v>
      </c>
    </row>
    <row r="131" spans="1:21" x14ac:dyDescent="0.25">
      <c r="A131" s="5">
        <v>129</v>
      </c>
      <c r="B131" s="5">
        <v>261129</v>
      </c>
      <c r="C131" s="7" t="s">
        <v>320</v>
      </c>
      <c r="D131" s="5">
        <v>61487129</v>
      </c>
      <c r="E131" s="5" t="s">
        <v>37</v>
      </c>
      <c r="F131" s="5"/>
      <c r="G131" s="5"/>
      <c r="H131" s="5"/>
      <c r="I131" s="6" t="s">
        <v>659</v>
      </c>
      <c r="J131" s="3" t="str">
        <f t="shared" ref="J131:J194" si="2">IF(AND(K131=30, L131=30), "X", "")</f>
        <v>X</v>
      </c>
      <c r="K131">
        <v>30</v>
      </c>
      <c r="L131">
        <v>30</v>
      </c>
      <c r="M131" t="s">
        <v>14</v>
      </c>
      <c r="N131" t="s">
        <v>15</v>
      </c>
      <c r="O131" t="s">
        <v>21</v>
      </c>
      <c r="P131" t="s">
        <v>14</v>
      </c>
      <c r="Q131" t="s">
        <v>15</v>
      </c>
      <c r="R131" t="s">
        <v>21</v>
      </c>
      <c r="S131" t="s">
        <v>321</v>
      </c>
      <c r="T131" t="s">
        <v>29</v>
      </c>
      <c r="U131" t="s">
        <v>19</v>
      </c>
    </row>
    <row r="132" spans="1:21" x14ac:dyDescent="0.25">
      <c r="A132" s="5">
        <v>130</v>
      </c>
      <c r="B132" s="5">
        <v>261130</v>
      </c>
      <c r="C132" s="7" t="s">
        <v>322</v>
      </c>
      <c r="D132" s="5">
        <v>61428675</v>
      </c>
      <c r="E132" s="5" t="s">
        <v>80</v>
      </c>
      <c r="F132" s="5"/>
      <c r="G132" s="5"/>
      <c r="H132" s="5"/>
      <c r="I132" s="6" t="s">
        <v>659</v>
      </c>
      <c r="J132" s="3" t="str">
        <f t="shared" si="2"/>
        <v>X</v>
      </c>
      <c r="K132">
        <v>30</v>
      </c>
      <c r="L132">
        <v>30</v>
      </c>
      <c r="M132" t="s">
        <v>14</v>
      </c>
      <c r="N132" t="s">
        <v>15</v>
      </c>
      <c r="O132" t="s">
        <v>21</v>
      </c>
      <c r="P132" t="s">
        <v>14</v>
      </c>
      <c r="Q132" t="s">
        <v>15</v>
      </c>
      <c r="R132" t="s">
        <v>21</v>
      </c>
      <c r="S132" t="s">
        <v>323</v>
      </c>
      <c r="T132" t="s">
        <v>18</v>
      </c>
      <c r="U132" t="s">
        <v>19</v>
      </c>
    </row>
    <row r="133" spans="1:21" x14ac:dyDescent="0.25">
      <c r="A133" s="5">
        <v>131</v>
      </c>
      <c r="B133" s="5">
        <v>261131</v>
      </c>
      <c r="C133" s="7" t="s">
        <v>324</v>
      </c>
      <c r="D133" s="5">
        <v>62041230</v>
      </c>
      <c r="E133" s="5" t="s">
        <v>113</v>
      </c>
      <c r="F133" s="5"/>
      <c r="G133" s="5"/>
      <c r="H133" s="5"/>
      <c r="I133" s="6" t="s">
        <v>659</v>
      </c>
      <c r="J133" s="3" t="str">
        <f t="shared" si="2"/>
        <v>X</v>
      </c>
      <c r="K133">
        <v>30</v>
      </c>
      <c r="L133">
        <v>30</v>
      </c>
      <c r="M133" t="s">
        <v>14</v>
      </c>
      <c r="N133" t="s">
        <v>15</v>
      </c>
      <c r="O133" t="s">
        <v>16</v>
      </c>
      <c r="P133" t="s">
        <v>14</v>
      </c>
      <c r="Q133" t="s">
        <v>15</v>
      </c>
      <c r="R133" t="s">
        <v>21</v>
      </c>
      <c r="S133" t="s">
        <v>216</v>
      </c>
      <c r="T133" t="s">
        <v>18</v>
      </c>
      <c r="U133" t="s">
        <v>19</v>
      </c>
    </row>
    <row r="134" spans="1:21" x14ac:dyDescent="0.25">
      <c r="A134" s="5">
        <v>132</v>
      </c>
      <c r="B134" s="5">
        <v>261132</v>
      </c>
      <c r="C134" s="7" t="s">
        <v>325</v>
      </c>
      <c r="D134" s="5">
        <v>61363012</v>
      </c>
      <c r="E134" s="5" t="s">
        <v>13</v>
      </c>
      <c r="F134" s="5"/>
      <c r="G134" s="5"/>
      <c r="H134" s="5"/>
      <c r="I134" s="6" t="s">
        <v>659</v>
      </c>
      <c r="J134" s="3" t="str">
        <f t="shared" si="2"/>
        <v>X</v>
      </c>
      <c r="K134">
        <v>30</v>
      </c>
      <c r="L134">
        <v>30</v>
      </c>
      <c r="M134" t="s">
        <v>14</v>
      </c>
      <c r="N134" t="s">
        <v>52</v>
      </c>
      <c r="O134" t="s">
        <v>14</v>
      </c>
      <c r="P134" t="s">
        <v>41</v>
      </c>
      <c r="Q134" t="s">
        <v>42</v>
      </c>
      <c r="R134" t="s">
        <v>43</v>
      </c>
      <c r="S134" t="s">
        <v>326</v>
      </c>
      <c r="T134" t="s">
        <v>29</v>
      </c>
      <c r="U134" t="s">
        <v>46</v>
      </c>
    </row>
    <row r="135" spans="1:21" x14ac:dyDescent="0.25">
      <c r="A135" s="5">
        <v>133</v>
      </c>
      <c r="B135" s="5">
        <v>261133</v>
      </c>
      <c r="C135" s="7" t="s">
        <v>327</v>
      </c>
      <c r="D135" s="5">
        <v>61128586</v>
      </c>
      <c r="E135" s="5" t="s">
        <v>71</v>
      </c>
      <c r="F135" s="5"/>
      <c r="G135" s="5"/>
      <c r="H135" s="5"/>
      <c r="I135" s="6" t="s">
        <v>659</v>
      </c>
      <c r="J135" s="3" t="str">
        <f t="shared" si="2"/>
        <v>X</v>
      </c>
      <c r="K135">
        <v>30</v>
      </c>
      <c r="L135">
        <v>30</v>
      </c>
      <c r="M135" t="s">
        <v>14</v>
      </c>
      <c r="N135" t="s">
        <v>15</v>
      </c>
      <c r="O135" t="s">
        <v>21</v>
      </c>
      <c r="P135" t="s">
        <v>14</v>
      </c>
      <c r="Q135" t="s">
        <v>15</v>
      </c>
      <c r="R135" t="s">
        <v>21</v>
      </c>
      <c r="S135" t="s">
        <v>328</v>
      </c>
      <c r="T135" t="s">
        <v>18</v>
      </c>
      <c r="U135" t="s">
        <v>19</v>
      </c>
    </row>
    <row r="136" spans="1:21" x14ac:dyDescent="0.25">
      <c r="A136" s="5">
        <v>134</v>
      </c>
      <c r="B136" s="5">
        <v>261134</v>
      </c>
      <c r="C136" s="7" t="s">
        <v>329</v>
      </c>
      <c r="D136" s="5">
        <v>60087624</v>
      </c>
      <c r="E136" s="5" t="s">
        <v>37</v>
      </c>
      <c r="F136" s="5"/>
      <c r="G136" s="5"/>
      <c r="H136" s="5"/>
      <c r="I136" s="6" t="s">
        <v>659</v>
      </c>
      <c r="J136" s="3" t="str">
        <f t="shared" si="2"/>
        <v>X</v>
      </c>
      <c r="K136">
        <v>30</v>
      </c>
      <c r="L136">
        <v>30</v>
      </c>
      <c r="M136" t="s">
        <v>330</v>
      </c>
      <c r="N136" t="s">
        <v>331</v>
      </c>
      <c r="O136" t="s">
        <v>332</v>
      </c>
      <c r="P136" t="s">
        <v>14</v>
      </c>
      <c r="Q136" t="s">
        <v>15</v>
      </c>
      <c r="R136" t="s">
        <v>21</v>
      </c>
      <c r="S136" t="s">
        <v>159</v>
      </c>
      <c r="T136" t="s">
        <v>29</v>
      </c>
      <c r="U136" t="s">
        <v>19</v>
      </c>
    </row>
    <row r="137" spans="1:21" x14ac:dyDescent="0.25">
      <c r="A137" s="5">
        <v>135</v>
      </c>
      <c r="B137" s="5">
        <v>261135</v>
      </c>
      <c r="C137" s="7" t="s">
        <v>333</v>
      </c>
      <c r="D137" s="5">
        <v>61518639</v>
      </c>
      <c r="E137" s="5" t="s">
        <v>80</v>
      </c>
      <c r="F137" s="5"/>
      <c r="G137" s="5"/>
      <c r="H137" s="5"/>
      <c r="I137" s="6" t="s">
        <v>659</v>
      </c>
      <c r="J137" s="3" t="str">
        <f t="shared" si="2"/>
        <v>X</v>
      </c>
      <c r="K137">
        <v>30</v>
      </c>
      <c r="L137">
        <v>30</v>
      </c>
      <c r="M137" t="s">
        <v>14</v>
      </c>
      <c r="N137" t="s">
        <v>15</v>
      </c>
      <c r="O137" t="s">
        <v>16</v>
      </c>
      <c r="P137" t="s">
        <v>14</v>
      </c>
      <c r="Q137" t="s">
        <v>15</v>
      </c>
      <c r="R137" t="s">
        <v>16</v>
      </c>
      <c r="S137" t="s">
        <v>334</v>
      </c>
      <c r="T137" t="s">
        <v>29</v>
      </c>
      <c r="U137" t="s">
        <v>19</v>
      </c>
    </row>
    <row r="138" spans="1:21" x14ac:dyDescent="0.25">
      <c r="A138" s="5">
        <v>136</v>
      </c>
      <c r="B138" s="5">
        <v>261136</v>
      </c>
      <c r="C138" s="7" t="s">
        <v>335</v>
      </c>
      <c r="D138" s="5">
        <v>71368032</v>
      </c>
      <c r="E138" s="5" t="s">
        <v>13</v>
      </c>
      <c r="F138" s="5"/>
      <c r="G138" s="5"/>
      <c r="H138" s="5"/>
      <c r="I138" s="6" t="s">
        <v>659</v>
      </c>
      <c r="J138" s="3" t="str">
        <f t="shared" si="2"/>
        <v>X</v>
      </c>
      <c r="K138">
        <v>30</v>
      </c>
      <c r="L138">
        <v>30</v>
      </c>
      <c r="M138" t="s">
        <v>14</v>
      </c>
      <c r="N138" t="s">
        <v>15</v>
      </c>
      <c r="O138" t="s">
        <v>16</v>
      </c>
      <c r="P138" t="s">
        <v>14</v>
      </c>
      <c r="Q138" t="s">
        <v>15</v>
      </c>
      <c r="R138" t="s">
        <v>21</v>
      </c>
      <c r="S138" t="s">
        <v>251</v>
      </c>
      <c r="T138" t="s">
        <v>18</v>
      </c>
      <c r="U138" t="s">
        <v>46</v>
      </c>
    </row>
    <row r="139" spans="1:21" x14ac:dyDescent="0.25">
      <c r="A139" s="5">
        <v>137</v>
      </c>
      <c r="B139" s="5">
        <v>261137</v>
      </c>
      <c r="C139" s="7" t="s">
        <v>336</v>
      </c>
      <c r="D139" s="5">
        <v>61443548</v>
      </c>
      <c r="E139" s="5" t="s">
        <v>113</v>
      </c>
      <c r="F139" s="5"/>
      <c r="G139" s="5"/>
      <c r="H139" s="5"/>
      <c r="I139" s="6" t="s">
        <v>658</v>
      </c>
      <c r="J139" s="3" t="str">
        <f t="shared" si="2"/>
        <v/>
      </c>
      <c r="M139" t="s">
        <v>14</v>
      </c>
      <c r="N139" t="s">
        <v>15</v>
      </c>
      <c r="O139" t="s">
        <v>21</v>
      </c>
      <c r="P139" t="s">
        <v>14</v>
      </c>
      <c r="Q139" t="s">
        <v>15</v>
      </c>
      <c r="R139" t="s">
        <v>21</v>
      </c>
      <c r="S139" t="s">
        <v>337</v>
      </c>
      <c r="T139" t="s">
        <v>29</v>
      </c>
      <c r="U139" t="s">
        <v>78</v>
      </c>
    </row>
    <row r="140" spans="1:21" x14ac:dyDescent="0.25">
      <c r="A140" s="5">
        <v>138</v>
      </c>
      <c r="B140" s="5">
        <v>261138</v>
      </c>
      <c r="C140" s="7" t="s">
        <v>338</v>
      </c>
      <c r="D140" s="5">
        <v>61525904</v>
      </c>
      <c r="E140" s="5" t="s">
        <v>71</v>
      </c>
      <c r="F140" s="5"/>
      <c r="G140" s="5"/>
      <c r="H140" s="5"/>
      <c r="I140" s="6" t="s">
        <v>659</v>
      </c>
      <c r="J140" s="3" t="str">
        <f t="shared" si="2"/>
        <v>X</v>
      </c>
      <c r="K140">
        <v>30</v>
      </c>
      <c r="L140">
        <v>30</v>
      </c>
      <c r="M140" t="s">
        <v>14</v>
      </c>
      <c r="N140" t="s">
        <v>15</v>
      </c>
      <c r="O140" t="s">
        <v>16</v>
      </c>
      <c r="P140" t="s">
        <v>14</v>
      </c>
      <c r="Q140" t="s">
        <v>15</v>
      </c>
      <c r="R140" t="s">
        <v>59</v>
      </c>
      <c r="S140" t="s">
        <v>339</v>
      </c>
      <c r="T140" t="s">
        <v>29</v>
      </c>
      <c r="U140" t="s">
        <v>19</v>
      </c>
    </row>
    <row r="141" spans="1:21" x14ac:dyDescent="0.25">
      <c r="A141" s="5">
        <v>139</v>
      </c>
      <c r="B141" s="5">
        <v>261139</v>
      </c>
      <c r="C141" s="7" t="s">
        <v>340</v>
      </c>
      <c r="D141" s="5">
        <v>61779828</v>
      </c>
      <c r="E141" s="5" t="s">
        <v>37</v>
      </c>
      <c r="F141" s="5"/>
      <c r="G141" s="5"/>
      <c r="H141" s="5"/>
      <c r="I141" s="6" t="s">
        <v>659</v>
      </c>
      <c r="J141" s="3" t="str">
        <f t="shared" si="2"/>
        <v>X</v>
      </c>
      <c r="K141">
        <v>30</v>
      </c>
      <c r="L141">
        <v>30</v>
      </c>
      <c r="M141" t="s">
        <v>14</v>
      </c>
      <c r="N141" t="s">
        <v>15</v>
      </c>
      <c r="O141" t="s">
        <v>16</v>
      </c>
      <c r="P141" t="s">
        <v>14</v>
      </c>
      <c r="Q141" t="s">
        <v>15</v>
      </c>
      <c r="R141" t="s">
        <v>16</v>
      </c>
      <c r="S141" t="s">
        <v>341</v>
      </c>
      <c r="T141" t="s">
        <v>29</v>
      </c>
      <c r="U141" t="s">
        <v>19</v>
      </c>
    </row>
    <row r="142" spans="1:21" x14ac:dyDescent="0.25">
      <c r="A142" s="5">
        <v>140</v>
      </c>
      <c r="B142" s="5">
        <v>261140</v>
      </c>
      <c r="C142" s="7" t="s">
        <v>342</v>
      </c>
      <c r="D142" s="5">
        <v>61611471</v>
      </c>
      <c r="E142" s="5" t="s">
        <v>27</v>
      </c>
      <c r="F142" s="5"/>
      <c r="G142" s="5"/>
      <c r="H142" s="5"/>
      <c r="I142" s="6" t="s">
        <v>658</v>
      </c>
      <c r="J142" s="3" t="str">
        <f t="shared" si="2"/>
        <v/>
      </c>
      <c r="M142" t="s">
        <v>14</v>
      </c>
      <c r="N142" t="s">
        <v>15</v>
      </c>
      <c r="O142" t="s">
        <v>38</v>
      </c>
      <c r="P142" t="s">
        <v>14</v>
      </c>
      <c r="Q142" t="s">
        <v>15</v>
      </c>
      <c r="R142" t="s">
        <v>38</v>
      </c>
      <c r="S142" t="s">
        <v>343</v>
      </c>
      <c r="T142" t="s">
        <v>29</v>
      </c>
      <c r="U142" t="s">
        <v>46</v>
      </c>
    </row>
    <row r="143" spans="1:21" x14ac:dyDescent="0.25">
      <c r="A143" s="5">
        <v>141</v>
      </c>
      <c r="B143" s="5">
        <v>261141</v>
      </c>
      <c r="C143" s="7" t="s">
        <v>344</v>
      </c>
      <c r="D143" s="5">
        <v>62024934</v>
      </c>
      <c r="E143" s="5" t="s">
        <v>27</v>
      </c>
      <c r="F143" s="5"/>
      <c r="G143" s="5"/>
      <c r="H143" s="5"/>
      <c r="I143" s="6" t="s">
        <v>659</v>
      </c>
      <c r="J143" s="3" t="str">
        <f t="shared" si="2"/>
        <v>X</v>
      </c>
      <c r="K143">
        <v>30</v>
      </c>
      <c r="L143">
        <v>30</v>
      </c>
      <c r="M143" t="s">
        <v>14</v>
      </c>
      <c r="N143" t="s">
        <v>15</v>
      </c>
      <c r="O143" t="s">
        <v>16</v>
      </c>
      <c r="P143" t="s">
        <v>14</v>
      </c>
      <c r="Q143" t="s">
        <v>15</v>
      </c>
      <c r="R143" t="s">
        <v>16</v>
      </c>
      <c r="S143" t="s">
        <v>345</v>
      </c>
      <c r="T143" t="s">
        <v>29</v>
      </c>
      <c r="U143" t="s">
        <v>78</v>
      </c>
    </row>
    <row r="144" spans="1:21" x14ac:dyDescent="0.25">
      <c r="A144" s="5">
        <v>142</v>
      </c>
      <c r="B144" s="5">
        <v>261142</v>
      </c>
      <c r="C144" s="7" t="s">
        <v>346</v>
      </c>
      <c r="D144" s="5">
        <v>61315609</v>
      </c>
      <c r="E144" s="5" t="s">
        <v>80</v>
      </c>
      <c r="F144" s="5"/>
      <c r="G144" s="5"/>
      <c r="H144" s="5"/>
      <c r="I144" s="6" t="s">
        <v>658</v>
      </c>
      <c r="J144" s="3" t="str">
        <f t="shared" si="2"/>
        <v/>
      </c>
      <c r="M144" t="s">
        <v>14</v>
      </c>
      <c r="N144" t="s">
        <v>15</v>
      </c>
      <c r="O144" t="s">
        <v>21</v>
      </c>
      <c r="P144" t="s">
        <v>14</v>
      </c>
      <c r="Q144" t="s">
        <v>15</v>
      </c>
      <c r="R144" t="s">
        <v>21</v>
      </c>
      <c r="S144" t="s">
        <v>347</v>
      </c>
      <c r="T144" t="s">
        <v>29</v>
      </c>
      <c r="U144" t="s">
        <v>19</v>
      </c>
    </row>
    <row r="145" spans="1:21" x14ac:dyDescent="0.25">
      <c r="A145" s="5">
        <v>143</v>
      </c>
      <c r="B145" s="5">
        <v>261143</v>
      </c>
      <c r="C145" s="7" t="s">
        <v>348</v>
      </c>
      <c r="D145" s="5">
        <v>75917240</v>
      </c>
      <c r="E145" s="5" t="s">
        <v>13</v>
      </c>
      <c r="F145" s="5"/>
      <c r="G145" s="5"/>
      <c r="H145" s="5"/>
      <c r="I145" s="6" t="s">
        <v>658</v>
      </c>
      <c r="J145" s="3" t="str">
        <f t="shared" si="2"/>
        <v/>
      </c>
      <c r="M145" t="s">
        <v>349</v>
      </c>
      <c r="N145" t="s">
        <v>350</v>
      </c>
      <c r="O145" t="s">
        <v>351</v>
      </c>
      <c r="P145" t="s">
        <v>14</v>
      </c>
      <c r="Q145" t="s">
        <v>15</v>
      </c>
      <c r="R145" t="s">
        <v>21</v>
      </c>
      <c r="S145" t="s">
        <v>352</v>
      </c>
      <c r="T145" t="s">
        <v>18</v>
      </c>
      <c r="U145" t="s">
        <v>19</v>
      </c>
    </row>
    <row r="146" spans="1:21" x14ac:dyDescent="0.25">
      <c r="A146" s="5">
        <v>144</v>
      </c>
      <c r="B146" s="5">
        <v>261144</v>
      </c>
      <c r="C146" s="7" t="s">
        <v>353</v>
      </c>
      <c r="D146" s="5">
        <v>61992256</v>
      </c>
      <c r="E146" s="5" t="s">
        <v>71</v>
      </c>
      <c r="F146" s="5"/>
      <c r="G146" s="5"/>
      <c r="H146" s="5"/>
      <c r="I146" s="6" t="s">
        <v>659</v>
      </c>
      <c r="J146" s="3" t="str">
        <f t="shared" si="2"/>
        <v>X</v>
      </c>
      <c r="K146">
        <v>30</v>
      </c>
      <c r="L146">
        <v>30</v>
      </c>
      <c r="M146" t="s">
        <v>14</v>
      </c>
      <c r="N146" t="s">
        <v>15</v>
      </c>
      <c r="O146" t="s">
        <v>21</v>
      </c>
      <c r="P146" t="s">
        <v>14</v>
      </c>
      <c r="Q146" t="s">
        <v>15</v>
      </c>
      <c r="R146" t="s">
        <v>21</v>
      </c>
      <c r="S146" t="s">
        <v>354</v>
      </c>
      <c r="T146" t="s">
        <v>29</v>
      </c>
      <c r="U146" t="s">
        <v>19</v>
      </c>
    </row>
    <row r="147" spans="1:21" x14ac:dyDescent="0.25">
      <c r="A147" s="5">
        <v>145</v>
      </c>
      <c r="B147" s="5">
        <v>261145</v>
      </c>
      <c r="C147" s="7" t="s">
        <v>355</v>
      </c>
      <c r="D147" s="5">
        <v>60071013</v>
      </c>
      <c r="E147" s="5" t="s">
        <v>37</v>
      </c>
      <c r="F147" s="5"/>
      <c r="G147" s="5"/>
      <c r="H147" s="5"/>
      <c r="I147" s="6" t="s">
        <v>659</v>
      </c>
      <c r="J147" s="3" t="str">
        <f t="shared" si="2"/>
        <v>X</v>
      </c>
      <c r="K147">
        <v>30</v>
      </c>
      <c r="L147">
        <v>30</v>
      </c>
      <c r="M147" t="s">
        <v>14</v>
      </c>
      <c r="N147" t="s">
        <v>15</v>
      </c>
      <c r="O147" t="s">
        <v>356</v>
      </c>
      <c r="P147" t="s">
        <v>14</v>
      </c>
      <c r="Q147" t="s">
        <v>15</v>
      </c>
      <c r="R147" t="s">
        <v>87</v>
      </c>
      <c r="S147" t="s">
        <v>357</v>
      </c>
      <c r="T147" t="s">
        <v>18</v>
      </c>
      <c r="U147" t="s">
        <v>19</v>
      </c>
    </row>
    <row r="148" spans="1:21" x14ac:dyDescent="0.25">
      <c r="A148" s="5">
        <v>146</v>
      </c>
      <c r="B148" s="5">
        <v>261146</v>
      </c>
      <c r="C148" s="7" t="s">
        <v>358</v>
      </c>
      <c r="D148" s="5">
        <v>72600153</v>
      </c>
      <c r="E148" s="5" t="s">
        <v>13</v>
      </c>
      <c r="F148" s="5"/>
      <c r="G148" s="5"/>
      <c r="H148" s="5"/>
      <c r="I148" s="6" t="s">
        <v>659</v>
      </c>
      <c r="J148" s="3" t="str">
        <f t="shared" si="2"/>
        <v>X</v>
      </c>
      <c r="K148">
        <v>30</v>
      </c>
      <c r="L148">
        <v>30</v>
      </c>
      <c r="M148" t="s">
        <v>14</v>
      </c>
      <c r="N148" t="s">
        <v>15</v>
      </c>
      <c r="O148" t="s">
        <v>96</v>
      </c>
      <c r="P148" t="s">
        <v>14</v>
      </c>
      <c r="Q148" t="s">
        <v>15</v>
      </c>
      <c r="R148" t="s">
        <v>96</v>
      </c>
      <c r="S148" t="s">
        <v>101</v>
      </c>
      <c r="T148" t="s">
        <v>18</v>
      </c>
      <c r="U148" t="s">
        <v>19</v>
      </c>
    </row>
    <row r="149" spans="1:21" x14ac:dyDescent="0.25">
      <c r="A149" s="5">
        <v>147</v>
      </c>
      <c r="B149" s="5">
        <v>261147</v>
      </c>
      <c r="C149" s="7" t="s">
        <v>359</v>
      </c>
      <c r="D149" s="5">
        <v>61555973</v>
      </c>
      <c r="E149" s="5" t="s">
        <v>80</v>
      </c>
      <c r="F149" s="5"/>
      <c r="G149" s="5"/>
      <c r="H149" s="5"/>
      <c r="I149" s="6" t="s">
        <v>659</v>
      </c>
      <c r="J149" s="3" t="str">
        <f t="shared" si="2"/>
        <v>X</v>
      </c>
      <c r="K149">
        <v>30</v>
      </c>
      <c r="L149">
        <v>30</v>
      </c>
      <c r="M149" t="s">
        <v>41</v>
      </c>
      <c r="N149" t="s">
        <v>42</v>
      </c>
      <c r="O149" t="s">
        <v>360</v>
      </c>
      <c r="P149" t="s">
        <v>41</v>
      </c>
      <c r="Q149" t="s">
        <v>42</v>
      </c>
      <c r="R149" t="s">
        <v>360</v>
      </c>
      <c r="S149" t="s">
        <v>361</v>
      </c>
      <c r="T149" t="s">
        <v>29</v>
      </c>
      <c r="U149" t="s">
        <v>19</v>
      </c>
    </row>
    <row r="150" spans="1:21" x14ac:dyDescent="0.25">
      <c r="A150" s="5">
        <v>148</v>
      </c>
      <c r="B150" s="5">
        <v>261148</v>
      </c>
      <c r="C150" s="7" t="s">
        <v>362</v>
      </c>
      <c r="D150" s="5">
        <v>61030544</v>
      </c>
      <c r="E150" s="5" t="s">
        <v>71</v>
      </c>
      <c r="F150" s="5"/>
      <c r="G150" s="5"/>
      <c r="H150" s="5"/>
      <c r="I150" s="6" t="s">
        <v>659</v>
      </c>
      <c r="J150" s="3" t="str">
        <f t="shared" si="2"/>
        <v>X</v>
      </c>
      <c r="K150">
        <v>30</v>
      </c>
      <c r="L150">
        <v>30</v>
      </c>
      <c r="M150" t="s">
        <v>14</v>
      </c>
      <c r="N150" t="s">
        <v>15</v>
      </c>
      <c r="O150" t="s">
        <v>16</v>
      </c>
      <c r="P150" t="s">
        <v>14</v>
      </c>
      <c r="Q150" t="s">
        <v>15</v>
      </c>
      <c r="R150" t="s">
        <v>16</v>
      </c>
      <c r="S150" t="s">
        <v>363</v>
      </c>
      <c r="T150" t="s">
        <v>18</v>
      </c>
      <c r="U150" t="s">
        <v>46</v>
      </c>
    </row>
    <row r="151" spans="1:21" x14ac:dyDescent="0.25">
      <c r="A151" s="5">
        <v>149</v>
      </c>
      <c r="B151" s="5">
        <v>261149</v>
      </c>
      <c r="C151" s="7" t="s">
        <v>364</v>
      </c>
      <c r="D151" s="5">
        <v>61249040</v>
      </c>
      <c r="E151" s="5" t="s">
        <v>37</v>
      </c>
      <c r="F151" s="5"/>
      <c r="G151" s="5"/>
      <c r="H151" s="5"/>
      <c r="I151" s="6" t="s">
        <v>658</v>
      </c>
      <c r="J151" s="3" t="str">
        <f t="shared" si="2"/>
        <v/>
      </c>
      <c r="M151" t="s">
        <v>14</v>
      </c>
      <c r="N151" t="s">
        <v>15</v>
      </c>
      <c r="O151" t="s">
        <v>16</v>
      </c>
      <c r="P151" t="s">
        <v>14</v>
      </c>
      <c r="Q151" t="s">
        <v>15</v>
      </c>
      <c r="R151" t="s">
        <v>16</v>
      </c>
      <c r="S151" t="s">
        <v>365</v>
      </c>
      <c r="T151" t="s">
        <v>29</v>
      </c>
      <c r="U151" t="s">
        <v>19</v>
      </c>
    </row>
    <row r="152" spans="1:21" x14ac:dyDescent="0.25">
      <c r="A152" s="5">
        <v>150</v>
      </c>
      <c r="B152" s="5">
        <v>261150</v>
      </c>
      <c r="C152" s="7" t="s">
        <v>366</v>
      </c>
      <c r="D152" s="5">
        <v>61487134</v>
      </c>
      <c r="E152" s="5" t="s">
        <v>113</v>
      </c>
      <c r="F152" s="5"/>
      <c r="G152" s="5"/>
      <c r="H152" s="5"/>
      <c r="I152" s="6" t="s">
        <v>659</v>
      </c>
      <c r="J152" s="3" t="str">
        <f t="shared" si="2"/>
        <v>X</v>
      </c>
      <c r="K152">
        <v>30</v>
      </c>
      <c r="L152">
        <v>30</v>
      </c>
      <c r="M152" t="s">
        <v>14</v>
      </c>
      <c r="N152" t="s">
        <v>15</v>
      </c>
      <c r="O152" t="s">
        <v>21</v>
      </c>
      <c r="P152" t="s">
        <v>14</v>
      </c>
      <c r="Q152" t="s">
        <v>15</v>
      </c>
      <c r="R152" t="s">
        <v>21</v>
      </c>
      <c r="S152" t="s">
        <v>334</v>
      </c>
      <c r="T152" t="s">
        <v>29</v>
      </c>
      <c r="U152" t="s">
        <v>19</v>
      </c>
    </row>
    <row r="153" spans="1:21" x14ac:dyDescent="0.25">
      <c r="A153" s="5">
        <v>151</v>
      </c>
      <c r="B153" s="5">
        <v>261151</v>
      </c>
      <c r="C153" s="7" t="s">
        <v>367</v>
      </c>
      <c r="D153" s="5">
        <v>75340874</v>
      </c>
      <c r="E153" s="5" t="s">
        <v>80</v>
      </c>
      <c r="F153" s="5"/>
      <c r="G153" s="5"/>
      <c r="H153" s="5"/>
      <c r="I153" s="6" t="s">
        <v>659</v>
      </c>
      <c r="J153" s="3" t="str">
        <f t="shared" si="2"/>
        <v>X</v>
      </c>
      <c r="K153">
        <v>30</v>
      </c>
      <c r="L153">
        <v>30</v>
      </c>
      <c r="M153" t="s">
        <v>14</v>
      </c>
      <c r="N153" t="s">
        <v>15</v>
      </c>
      <c r="O153" t="s">
        <v>21</v>
      </c>
      <c r="P153" t="s">
        <v>14</v>
      </c>
      <c r="Q153" t="s">
        <v>15</v>
      </c>
      <c r="R153" t="s">
        <v>21</v>
      </c>
      <c r="S153" t="s">
        <v>368</v>
      </c>
      <c r="T153" t="s">
        <v>29</v>
      </c>
      <c r="U153" t="s">
        <v>46</v>
      </c>
    </row>
    <row r="154" spans="1:21" x14ac:dyDescent="0.25">
      <c r="A154" s="5">
        <v>152</v>
      </c>
      <c r="B154" s="5">
        <v>261152</v>
      </c>
      <c r="C154" s="7" t="s">
        <v>369</v>
      </c>
      <c r="D154" s="5">
        <v>61428620</v>
      </c>
      <c r="E154" s="5" t="s">
        <v>27</v>
      </c>
      <c r="F154" s="5"/>
      <c r="G154" s="5"/>
      <c r="H154" s="5"/>
      <c r="I154" s="6" t="s">
        <v>659</v>
      </c>
      <c r="J154" s="3" t="str">
        <f t="shared" si="2"/>
        <v>X</v>
      </c>
      <c r="K154">
        <v>30</v>
      </c>
      <c r="L154">
        <v>30</v>
      </c>
      <c r="M154" t="s">
        <v>14</v>
      </c>
      <c r="N154" t="s">
        <v>15</v>
      </c>
      <c r="O154" t="s">
        <v>16</v>
      </c>
      <c r="P154" t="s">
        <v>14</v>
      </c>
      <c r="Q154" t="s">
        <v>15</v>
      </c>
      <c r="R154" t="s">
        <v>21</v>
      </c>
      <c r="S154" t="s">
        <v>56</v>
      </c>
      <c r="T154" t="s">
        <v>29</v>
      </c>
      <c r="U154" t="s">
        <v>19</v>
      </c>
    </row>
    <row r="155" spans="1:21" x14ac:dyDescent="0.25">
      <c r="A155" s="5">
        <v>153</v>
      </c>
      <c r="B155" s="5">
        <v>261153</v>
      </c>
      <c r="C155" s="7" t="s">
        <v>370</v>
      </c>
      <c r="D155" s="5">
        <v>72984505</v>
      </c>
      <c r="E155" s="5" t="s">
        <v>13</v>
      </c>
      <c r="F155" s="5"/>
      <c r="G155" s="5"/>
      <c r="H155" s="5"/>
      <c r="I155" s="6" t="s">
        <v>659</v>
      </c>
      <c r="J155" s="3" t="str">
        <f t="shared" si="2"/>
        <v>X</v>
      </c>
      <c r="K155">
        <v>30</v>
      </c>
      <c r="L155">
        <v>30</v>
      </c>
      <c r="M155" t="s">
        <v>14</v>
      </c>
      <c r="N155" t="s">
        <v>15</v>
      </c>
      <c r="O155" t="s">
        <v>59</v>
      </c>
      <c r="P155" t="s">
        <v>14</v>
      </c>
      <c r="Q155" t="s">
        <v>15</v>
      </c>
      <c r="R155" t="s">
        <v>59</v>
      </c>
      <c r="S155" t="s">
        <v>167</v>
      </c>
      <c r="T155" t="s">
        <v>18</v>
      </c>
      <c r="U155" t="s">
        <v>19</v>
      </c>
    </row>
    <row r="156" spans="1:21" x14ac:dyDescent="0.25">
      <c r="A156" s="5">
        <v>154</v>
      </c>
      <c r="B156" s="5">
        <v>261154</v>
      </c>
      <c r="C156" s="7" t="s">
        <v>371</v>
      </c>
      <c r="D156" s="5">
        <v>76651148</v>
      </c>
      <c r="E156" s="5" t="s">
        <v>27</v>
      </c>
      <c r="F156" s="5"/>
      <c r="G156" s="5"/>
      <c r="H156" s="5"/>
      <c r="I156" s="6" t="s">
        <v>658</v>
      </c>
      <c r="J156" s="3" t="str">
        <f t="shared" si="2"/>
        <v/>
      </c>
      <c r="M156" t="s">
        <v>14</v>
      </c>
      <c r="N156" t="s">
        <v>15</v>
      </c>
      <c r="O156" t="s">
        <v>96</v>
      </c>
      <c r="P156" t="s">
        <v>14</v>
      </c>
      <c r="Q156" t="s">
        <v>15</v>
      </c>
      <c r="R156" t="s">
        <v>96</v>
      </c>
      <c r="S156" t="s">
        <v>372</v>
      </c>
      <c r="T156" t="s">
        <v>29</v>
      </c>
      <c r="U156" t="s">
        <v>19</v>
      </c>
    </row>
    <row r="157" spans="1:21" x14ac:dyDescent="0.25">
      <c r="A157" s="5">
        <v>155</v>
      </c>
      <c r="B157" s="5">
        <v>261155</v>
      </c>
      <c r="C157" s="7" t="s">
        <v>373</v>
      </c>
      <c r="D157" s="5">
        <v>60618633</v>
      </c>
      <c r="E157" s="5" t="s">
        <v>71</v>
      </c>
      <c r="F157" s="5"/>
      <c r="G157" s="5"/>
      <c r="H157" s="5"/>
      <c r="I157" s="6" t="s">
        <v>658</v>
      </c>
      <c r="J157" s="3" t="str">
        <f t="shared" si="2"/>
        <v/>
      </c>
      <c r="M157" t="s">
        <v>14</v>
      </c>
      <c r="N157" t="s">
        <v>15</v>
      </c>
      <c r="O157" t="s">
        <v>96</v>
      </c>
      <c r="P157" t="s">
        <v>14</v>
      </c>
      <c r="Q157" t="s">
        <v>15</v>
      </c>
      <c r="R157" t="s">
        <v>96</v>
      </c>
      <c r="S157" t="s">
        <v>374</v>
      </c>
      <c r="T157" t="s">
        <v>29</v>
      </c>
      <c r="U157" t="s">
        <v>78</v>
      </c>
    </row>
    <row r="158" spans="1:21" x14ac:dyDescent="0.25">
      <c r="A158" s="5">
        <v>156</v>
      </c>
      <c r="B158" s="5">
        <v>261156</v>
      </c>
      <c r="C158" s="7" t="s">
        <v>375</v>
      </c>
      <c r="D158" s="5">
        <v>70696738</v>
      </c>
      <c r="E158" s="5" t="s">
        <v>37</v>
      </c>
      <c r="F158" s="5"/>
      <c r="G158" s="5"/>
      <c r="H158" s="5"/>
      <c r="I158" s="6" t="s">
        <v>659</v>
      </c>
      <c r="J158" s="3" t="str">
        <f t="shared" si="2"/>
        <v>X</v>
      </c>
      <c r="K158">
        <v>30</v>
      </c>
      <c r="L158">
        <v>30</v>
      </c>
      <c r="M158" t="s">
        <v>14</v>
      </c>
      <c r="N158" t="s">
        <v>52</v>
      </c>
      <c r="O158" t="s">
        <v>376</v>
      </c>
      <c r="P158" t="s">
        <v>14</v>
      </c>
      <c r="Q158" t="s">
        <v>15</v>
      </c>
      <c r="R158" t="s">
        <v>21</v>
      </c>
      <c r="S158" t="s">
        <v>377</v>
      </c>
      <c r="T158" t="s">
        <v>18</v>
      </c>
      <c r="U158" t="s">
        <v>19</v>
      </c>
    </row>
    <row r="159" spans="1:21" x14ac:dyDescent="0.25">
      <c r="A159" s="5">
        <v>157</v>
      </c>
      <c r="B159" s="5">
        <v>261157</v>
      </c>
      <c r="C159" s="7" t="s">
        <v>378</v>
      </c>
      <c r="D159" s="5">
        <v>60371765</v>
      </c>
      <c r="E159" s="5" t="s">
        <v>80</v>
      </c>
      <c r="F159" s="5"/>
      <c r="G159" s="5"/>
      <c r="H159" s="5"/>
      <c r="I159" s="6" t="s">
        <v>659</v>
      </c>
      <c r="J159" s="3" t="str">
        <f t="shared" si="2"/>
        <v>X</v>
      </c>
      <c r="K159">
        <v>30</v>
      </c>
      <c r="L159">
        <v>30</v>
      </c>
      <c r="M159" t="s">
        <v>14</v>
      </c>
      <c r="N159" t="s">
        <v>15</v>
      </c>
      <c r="O159" t="s">
        <v>16</v>
      </c>
      <c r="P159" t="s">
        <v>14</v>
      </c>
      <c r="Q159" t="s">
        <v>15</v>
      </c>
      <c r="R159" t="s">
        <v>59</v>
      </c>
      <c r="S159" t="s">
        <v>379</v>
      </c>
      <c r="T159" t="s">
        <v>18</v>
      </c>
      <c r="U159" t="s">
        <v>19</v>
      </c>
    </row>
    <row r="160" spans="1:21" x14ac:dyDescent="0.25">
      <c r="A160" s="5">
        <v>158</v>
      </c>
      <c r="B160" s="5">
        <v>261158</v>
      </c>
      <c r="C160" s="7" t="s">
        <v>380</v>
      </c>
      <c r="D160" s="5">
        <v>61376474</v>
      </c>
      <c r="E160" s="5" t="s">
        <v>80</v>
      </c>
      <c r="F160" s="5"/>
      <c r="G160" s="5"/>
      <c r="H160" s="5"/>
      <c r="I160" s="6" t="s">
        <v>659</v>
      </c>
      <c r="J160" s="3" t="str">
        <f t="shared" si="2"/>
        <v>X</v>
      </c>
      <c r="K160">
        <v>30</v>
      </c>
      <c r="L160">
        <v>30</v>
      </c>
      <c r="M160" t="s">
        <v>14</v>
      </c>
      <c r="N160" t="s">
        <v>15</v>
      </c>
      <c r="O160" t="s">
        <v>21</v>
      </c>
      <c r="P160" t="s">
        <v>14</v>
      </c>
      <c r="Q160" t="s">
        <v>15</v>
      </c>
      <c r="R160" t="s">
        <v>21</v>
      </c>
      <c r="S160" t="s">
        <v>381</v>
      </c>
      <c r="T160" t="s">
        <v>29</v>
      </c>
      <c r="U160" t="s">
        <v>19</v>
      </c>
    </row>
    <row r="161" spans="1:21" x14ac:dyDescent="0.25">
      <c r="A161" s="5">
        <v>159</v>
      </c>
      <c r="B161" s="5">
        <v>261159</v>
      </c>
      <c r="C161" s="7" t="s">
        <v>382</v>
      </c>
      <c r="D161" s="5">
        <v>620520798</v>
      </c>
      <c r="E161" s="5" t="s">
        <v>13</v>
      </c>
      <c r="F161" s="5"/>
      <c r="G161" s="5"/>
      <c r="H161" s="5"/>
      <c r="I161" s="6" t="s">
        <v>659</v>
      </c>
      <c r="J161" s="3" t="str">
        <f t="shared" si="2"/>
        <v>X</v>
      </c>
      <c r="K161">
        <v>30</v>
      </c>
      <c r="L161">
        <v>30</v>
      </c>
      <c r="M161" t="s">
        <v>14</v>
      </c>
      <c r="N161" t="s">
        <v>15</v>
      </c>
      <c r="O161" t="s">
        <v>16</v>
      </c>
      <c r="P161" t="s">
        <v>14</v>
      </c>
      <c r="Q161" t="s">
        <v>15</v>
      </c>
      <c r="R161" t="s">
        <v>16</v>
      </c>
      <c r="S161" t="s">
        <v>383</v>
      </c>
      <c r="T161" t="s">
        <v>29</v>
      </c>
      <c r="U161" t="s">
        <v>46</v>
      </c>
    </row>
    <row r="162" spans="1:21" x14ac:dyDescent="0.25">
      <c r="A162" s="5">
        <v>160</v>
      </c>
      <c r="B162" s="5">
        <v>261160</v>
      </c>
      <c r="C162" s="7" t="s">
        <v>384</v>
      </c>
      <c r="D162" s="5">
        <v>62051772</v>
      </c>
      <c r="E162" s="5" t="s">
        <v>113</v>
      </c>
      <c r="F162" s="5"/>
      <c r="G162" s="5"/>
      <c r="H162" s="5"/>
      <c r="I162" s="6" t="s">
        <v>659</v>
      </c>
      <c r="J162" s="3" t="str">
        <f t="shared" si="2"/>
        <v>X</v>
      </c>
      <c r="K162">
        <v>30</v>
      </c>
      <c r="L162">
        <v>30</v>
      </c>
      <c r="M162" t="s">
        <v>14</v>
      </c>
      <c r="N162" t="s">
        <v>15</v>
      </c>
      <c r="O162" t="s">
        <v>16</v>
      </c>
      <c r="P162" t="s">
        <v>14</v>
      </c>
      <c r="Q162" t="s">
        <v>15</v>
      </c>
      <c r="R162" t="s">
        <v>59</v>
      </c>
      <c r="S162" t="s">
        <v>385</v>
      </c>
      <c r="T162" t="s">
        <v>18</v>
      </c>
      <c r="U162" t="s">
        <v>19</v>
      </c>
    </row>
    <row r="163" spans="1:21" x14ac:dyDescent="0.25">
      <c r="A163" s="5">
        <v>161</v>
      </c>
      <c r="B163" s="5">
        <v>261161</v>
      </c>
      <c r="C163" s="7" t="s">
        <v>386</v>
      </c>
      <c r="D163" s="5">
        <v>72969030</v>
      </c>
      <c r="E163" s="5" t="s">
        <v>37</v>
      </c>
      <c r="F163" s="5"/>
      <c r="G163" s="5"/>
      <c r="H163" s="5"/>
      <c r="I163" s="6" t="s">
        <v>659</v>
      </c>
      <c r="J163" s="3" t="str">
        <f t="shared" si="2"/>
        <v>X</v>
      </c>
      <c r="K163">
        <v>30</v>
      </c>
      <c r="L163">
        <v>30</v>
      </c>
      <c r="M163" t="s">
        <v>14</v>
      </c>
      <c r="N163" t="s">
        <v>15</v>
      </c>
      <c r="O163" t="s">
        <v>96</v>
      </c>
      <c r="P163" t="s">
        <v>14</v>
      </c>
      <c r="Q163" t="s">
        <v>15</v>
      </c>
      <c r="R163" t="s">
        <v>96</v>
      </c>
      <c r="S163" t="s">
        <v>387</v>
      </c>
      <c r="T163" t="s">
        <v>29</v>
      </c>
      <c r="U163" t="s">
        <v>19</v>
      </c>
    </row>
    <row r="164" spans="1:21" x14ac:dyDescent="0.25">
      <c r="A164" s="5">
        <v>162</v>
      </c>
      <c r="B164" s="5">
        <v>261162</v>
      </c>
      <c r="C164" s="7" t="s">
        <v>388</v>
      </c>
      <c r="D164" s="5">
        <v>61514379</v>
      </c>
      <c r="E164" s="5" t="s">
        <v>71</v>
      </c>
      <c r="F164" s="5"/>
      <c r="G164" s="5"/>
      <c r="H164" s="5"/>
      <c r="I164" s="6" t="s">
        <v>659</v>
      </c>
      <c r="J164" s="3" t="str">
        <f t="shared" si="2"/>
        <v>X</v>
      </c>
      <c r="K164">
        <v>30</v>
      </c>
      <c r="L164">
        <v>30</v>
      </c>
      <c r="M164" t="s">
        <v>14</v>
      </c>
      <c r="N164" t="s">
        <v>15</v>
      </c>
      <c r="O164" t="s">
        <v>16</v>
      </c>
      <c r="P164" t="s">
        <v>14</v>
      </c>
      <c r="Q164" t="s">
        <v>15</v>
      </c>
      <c r="R164" t="s">
        <v>16</v>
      </c>
      <c r="S164" t="s">
        <v>389</v>
      </c>
      <c r="T164" t="s">
        <v>29</v>
      </c>
      <c r="U164" t="s">
        <v>19</v>
      </c>
    </row>
    <row r="165" spans="1:21" x14ac:dyDescent="0.25">
      <c r="A165" s="5">
        <v>163</v>
      </c>
      <c r="B165" s="5">
        <v>261163</v>
      </c>
      <c r="C165" s="7" t="s">
        <v>390</v>
      </c>
      <c r="D165" s="5">
        <v>61632568</v>
      </c>
      <c r="E165" s="5" t="s">
        <v>37</v>
      </c>
      <c r="F165" s="5"/>
      <c r="G165" s="5"/>
      <c r="H165" s="5"/>
      <c r="I165" s="6" t="s">
        <v>659</v>
      </c>
      <c r="J165" s="3" t="str">
        <f t="shared" si="2"/>
        <v>X</v>
      </c>
      <c r="K165">
        <v>30</v>
      </c>
      <c r="L165">
        <v>30</v>
      </c>
      <c r="M165" t="s">
        <v>41</v>
      </c>
      <c r="N165" t="s">
        <v>42</v>
      </c>
      <c r="O165" t="s">
        <v>391</v>
      </c>
      <c r="P165" t="s">
        <v>41</v>
      </c>
      <c r="Q165" t="s">
        <v>42</v>
      </c>
      <c r="R165" t="s">
        <v>391</v>
      </c>
      <c r="S165" t="s">
        <v>392</v>
      </c>
      <c r="T165" t="s">
        <v>29</v>
      </c>
      <c r="U165" t="s">
        <v>19</v>
      </c>
    </row>
    <row r="166" spans="1:21" x14ac:dyDescent="0.25">
      <c r="A166" s="5">
        <v>164</v>
      </c>
      <c r="B166" s="5">
        <v>261164</v>
      </c>
      <c r="C166" s="7" t="s">
        <v>393</v>
      </c>
      <c r="D166" s="5">
        <v>61128494</v>
      </c>
      <c r="E166" s="5" t="s">
        <v>80</v>
      </c>
      <c r="F166" s="5"/>
      <c r="G166" s="5"/>
      <c r="H166" s="5"/>
      <c r="I166" s="6" t="s">
        <v>659</v>
      </c>
      <c r="J166" s="3" t="str">
        <f t="shared" si="2"/>
        <v>X</v>
      </c>
      <c r="K166">
        <v>30</v>
      </c>
      <c r="L166">
        <v>30</v>
      </c>
      <c r="M166" t="s">
        <v>14</v>
      </c>
      <c r="N166" t="s">
        <v>15</v>
      </c>
      <c r="O166" t="s">
        <v>21</v>
      </c>
      <c r="P166" t="s">
        <v>14</v>
      </c>
      <c r="Q166" t="s">
        <v>15</v>
      </c>
      <c r="R166" t="s">
        <v>21</v>
      </c>
      <c r="S166" t="s">
        <v>394</v>
      </c>
      <c r="T166" t="s">
        <v>29</v>
      </c>
      <c r="U166" t="s">
        <v>19</v>
      </c>
    </row>
    <row r="167" spans="1:21" x14ac:dyDescent="0.25">
      <c r="A167" s="5">
        <v>165</v>
      </c>
      <c r="B167" s="5">
        <v>261165</v>
      </c>
      <c r="C167" s="7" t="s">
        <v>395</v>
      </c>
      <c r="D167" s="5">
        <v>60571932</v>
      </c>
      <c r="E167" s="5" t="s">
        <v>13</v>
      </c>
      <c r="F167" s="5"/>
      <c r="G167" s="5"/>
      <c r="H167" s="5"/>
      <c r="I167" s="6" t="s">
        <v>659</v>
      </c>
      <c r="J167" s="3" t="str">
        <f t="shared" si="2"/>
        <v>X</v>
      </c>
      <c r="K167">
        <v>30</v>
      </c>
      <c r="L167">
        <v>30</v>
      </c>
      <c r="M167" t="s">
        <v>14</v>
      </c>
      <c r="N167" t="s">
        <v>15</v>
      </c>
      <c r="O167" t="s">
        <v>21</v>
      </c>
      <c r="P167" t="s">
        <v>14</v>
      </c>
      <c r="Q167" t="s">
        <v>15</v>
      </c>
      <c r="R167" t="s">
        <v>59</v>
      </c>
      <c r="S167" t="s">
        <v>396</v>
      </c>
      <c r="T167" t="s">
        <v>29</v>
      </c>
      <c r="U167" t="s">
        <v>19</v>
      </c>
    </row>
    <row r="168" spans="1:21" x14ac:dyDescent="0.25">
      <c r="A168" s="5">
        <v>166</v>
      </c>
      <c r="B168" s="5">
        <v>261166</v>
      </c>
      <c r="C168" s="7" t="s">
        <v>397</v>
      </c>
      <c r="D168" s="5">
        <v>61443835</v>
      </c>
      <c r="E168" s="5" t="s">
        <v>71</v>
      </c>
      <c r="F168" s="5"/>
      <c r="G168" s="5"/>
      <c r="H168" s="5"/>
      <c r="I168" s="6" t="s">
        <v>659</v>
      </c>
      <c r="J168" s="3" t="str">
        <f t="shared" si="2"/>
        <v>X</v>
      </c>
      <c r="K168">
        <v>30</v>
      </c>
      <c r="L168">
        <v>30</v>
      </c>
      <c r="M168" t="s">
        <v>14</v>
      </c>
      <c r="N168" t="s">
        <v>15</v>
      </c>
      <c r="O168" t="s">
        <v>16</v>
      </c>
      <c r="P168" t="s">
        <v>14</v>
      </c>
      <c r="Q168" t="s">
        <v>15</v>
      </c>
      <c r="R168" t="s">
        <v>16</v>
      </c>
      <c r="S168" t="s">
        <v>398</v>
      </c>
      <c r="T168" t="s">
        <v>18</v>
      </c>
      <c r="U168" t="s">
        <v>19</v>
      </c>
    </row>
    <row r="169" spans="1:21" x14ac:dyDescent="0.25">
      <c r="A169" s="5">
        <v>167</v>
      </c>
      <c r="B169" s="5">
        <v>261167</v>
      </c>
      <c r="C169" s="7" t="s">
        <v>399</v>
      </c>
      <c r="D169" s="5">
        <v>60661968</v>
      </c>
      <c r="E169" s="5" t="s">
        <v>113</v>
      </c>
      <c r="F169" s="5"/>
      <c r="G169" s="5"/>
      <c r="H169" s="5"/>
      <c r="I169" s="6" t="s">
        <v>659</v>
      </c>
      <c r="J169" s="3" t="str">
        <f t="shared" si="2"/>
        <v>X</v>
      </c>
      <c r="K169">
        <v>30</v>
      </c>
      <c r="L169">
        <v>30</v>
      </c>
      <c r="M169" t="s">
        <v>14</v>
      </c>
      <c r="N169" t="s">
        <v>15</v>
      </c>
      <c r="O169" t="s">
        <v>21</v>
      </c>
      <c r="P169" t="s">
        <v>14</v>
      </c>
      <c r="Q169" t="s">
        <v>15</v>
      </c>
      <c r="R169" t="s">
        <v>21</v>
      </c>
      <c r="S169" t="s">
        <v>400</v>
      </c>
      <c r="T169" t="s">
        <v>29</v>
      </c>
      <c r="U169" t="s">
        <v>19</v>
      </c>
    </row>
    <row r="170" spans="1:21" x14ac:dyDescent="0.25">
      <c r="A170" s="5">
        <v>168</v>
      </c>
      <c r="B170" s="5">
        <v>261168</v>
      </c>
      <c r="C170" s="7" t="s">
        <v>401</v>
      </c>
      <c r="D170" s="5">
        <v>75680587</v>
      </c>
      <c r="E170" s="5" t="s">
        <v>37</v>
      </c>
      <c r="F170" s="5"/>
      <c r="G170" s="5"/>
      <c r="H170" s="5"/>
      <c r="I170" s="6" t="s">
        <v>659</v>
      </c>
      <c r="J170" s="3" t="str">
        <f t="shared" si="2"/>
        <v>X</v>
      </c>
      <c r="K170">
        <v>30</v>
      </c>
      <c r="L170">
        <v>30</v>
      </c>
      <c r="M170" t="s">
        <v>41</v>
      </c>
      <c r="N170" t="s">
        <v>42</v>
      </c>
      <c r="O170" t="s">
        <v>43</v>
      </c>
      <c r="P170" t="s">
        <v>41</v>
      </c>
      <c r="Q170" t="s">
        <v>42</v>
      </c>
      <c r="R170" t="s">
        <v>43</v>
      </c>
      <c r="S170" t="s">
        <v>402</v>
      </c>
      <c r="T170" t="s">
        <v>29</v>
      </c>
      <c r="U170" t="s">
        <v>46</v>
      </c>
    </row>
    <row r="171" spans="1:21" x14ac:dyDescent="0.25">
      <c r="A171" s="5">
        <v>169</v>
      </c>
      <c r="B171" s="5">
        <v>261169</v>
      </c>
      <c r="C171" s="7" t="s">
        <v>403</v>
      </c>
      <c r="D171" s="5">
        <v>61514391</v>
      </c>
      <c r="E171" s="5" t="s">
        <v>27</v>
      </c>
      <c r="F171" s="5"/>
      <c r="G171" s="5"/>
      <c r="H171" s="5"/>
      <c r="I171" s="6" t="s">
        <v>659</v>
      </c>
      <c r="J171" s="3" t="str">
        <f t="shared" si="2"/>
        <v>X</v>
      </c>
      <c r="K171">
        <v>30</v>
      </c>
      <c r="L171">
        <v>30</v>
      </c>
      <c r="M171" t="s">
        <v>14</v>
      </c>
      <c r="N171" t="s">
        <v>15</v>
      </c>
      <c r="O171" t="s">
        <v>21</v>
      </c>
      <c r="P171" t="s">
        <v>14</v>
      </c>
      <c r="Q171" t="s">
        <v>15</v>
      </c>
      <c r="R171" t="s">
        <v>21</v>
      </c>
      <c r="S171" t="s">
        <v>167</v>
      </c>
      <c r="T171" t="s">
        <v>18</v>
      </c>
      <c r="U171" t="s">
        <v>78</v>
      </c>
    </row>
    <row r="172" spans="1:21" x14ac:dyDescent="0.25">
      <c r="A172" s="5">
        <v>170</v>
      </c>
      <c r="B172" s="5">
        <v>261170</v>
      </c>
      <c r="C172" s="7" t="s">
        <v>404</v>
      </c>
      <c r="D172" s="5">
        <v>61491825</v>
      </c>
      <c r="E172" s="5" t="s">
        <v>27</v>
      </c>
      <c r="F172" s="5"/>
      <c r="G172" s="5"/>
      <c r="H172" s="5"/>
      <c r="I172" s="6" t="s">
        <v>659</v>
      </c>
      <c r="J172" s="3" t="str">
        <f t="shared" si="2"/>
        <v>X</v>
      </c>
      <c r="K172">
        <v>30</v>
      </c>
      <c r="L172">
        <v>30</v>
      </c>
      <c r="M172" t="s">
        <v>405</v>
      </c>
      <c r="N172" t="s">
        <v>406</v>
      </c>
      <c r="O172" t="s">
        <v>407</v>
      </c>
      <c r="P172" t="s">
        <v>14</v>
      </c>
      <c r="Q172" t="s">
        <v>15</v>
      </c>
      <c r="R172" t="s">
        <v>21</v>
      </c>
      <c r="S172" t="s">
        <v>408</v>
      </c>
      <c r="T172" t="s">
        <v>29</v>
      </c>
      <c r="U172" t="s">
        <v>19</v>
      </c>
    </row>
    <row r="173" spans="1:21" x14ac:dyDescent="0.25">
      <c r="A173" s="5">
        <v>171</v>
      </c>
      <c r="B173" s="5">
        <v>261171</v>
      </c>
      <c r="C173" s="7" t="s">
        <v>409</v>
      </c>
      <c r="D173" s="5">
        <v>61428650</v>
      </c>
      <c r="E173" s="5" t="s">
        <v>27</v>
      </c>
      <c r="F173" s="5"/>
      <c r="G173" s="5"/>
      <c r="H173" s="5"/>
      <c r="I173" s="6" t="s">
        <v>659</v>
      </c>
      <c r="J173" s="3" t="str">
        <f t="shared" si="2"/>
        <v>X</v>
      </c>
      <c r="K173">
        <v>30</v>
      </c>
      <c r="L173">
        <v>30</v>
      </c>
      <c r="M173" t="s">
        <v>14</v>
      </c>
      <c r="N173" t="s">
        <v>15</v>
      </c>
      <c r="O173" t="s">
        <v>21</v>
      </c>
      <c r="P173" t="s">
        <v>14</v>
      </c>
      <c r="Q173" t="s">
        <v>15</v>
      </c>
      <c r="R173" t="s">
        <v>21</v>
      </c>
      <c r="S173" t="s">
        <v>56</v>
      </c>
      <c r="T173" t="s">
        <v>18</v>
      </c>
      <c r="U173" t="s">
        <v>19</v>
      </c>
    </row>
    <row r="174" spans="1:21" x14ac:dyDescent="0.25">
      <c r="A174" s="5">
        <v>172</v>
      </c>
      <c r="B174" s="5">
        <v>261172</v>
      </c>
      <c r="C174" s="7" t="s">
        <v>410</v>
      </c>
      <c r="D174" s="5">
        <v>61525857</v>
      </c>
      <c r="E174" s="5" t="s">
        <v>80</v>
      </c>
      <c r="F174" s="5"/>
      <c r="G174" s="5"/>
      <c r="H174" s="5"/>
      <c r="I174" s="6" t="s">
        <v>659</v>
      </c>
      <c r="J174" s="3" t="str">
        <f t="shared" si="2"/>
        <v>X</v>
      </c>
      <c r="K174">
        <v>30</v>
      </c>
      <c r="L174">
        <v>30</v>
      </c>
      <c r="M174" t="s">
        <v>14</v>
      </c>
      <c r="N174" t="s">
        <v>15</v>
      </c>
      <c r="O174" t="s">
        <v>16</v>
      </c>
      <c r="P174" t="s">
        <v>14</v>
      </c>
      <c r="Q174" t="s">
        <v>15</v>
      </c>
      <c r="R174" t="s">
        <v>16</v>
      </c>
      <c r="S174" t="s">
        <v>411</v>
      </c>
      <c r="T174" t="s">
        <v>29</v>
      </c>
      <c r="U174" t="s">
        <v>19</v>
      </c>
    </row>
    <row r="175" spans="1:21" x14ac:dyDescent="0.25">
      <c r="A175" s="5">
        <v>173</v>
      </c>
      <c r="B175" s="5">
        <v>261173</v>
      </c>
      <c r="C175" s="7" t="s">
        <v>412</v>
      </c>
      <c r="D175" s="5">
        <v>61525755</v>
      </c>
      <c r="E175" s="5" t="s">
        <v>27</v>
      </c>
      <c r="F175" s="5"/>
      <c r="G175" s="5"/>
      <c r="H175" s="5"/>
      <c r="I175" s="6" t="s">
        <v>658</v>
      </c>
      <c r="J175" s="3" t="str">
        <f t="shared" si="2"/>
        <v/>
      </c>
      <c r="M175" t="s">
        <v>14</v>
      </c>
      <c r="N175" t="s">
        <v>15</v>
      </c>
      <c r="O175" t="s">
        <v>16</v>
      </c>
      <c r="P175" t="s">
        <v>14</v>
      </c>
      <c r="Q175" t="s">
        <v>15</v>
      </c>
      <c r="R175" t="s">
        <v>16</v>
      </c>
      <c r="S175" t="s">
        <v>187</v>
      </c>
      <c r="T175" t="s">
        <v>18</v>
      </c>
      <c r="U175" t="s">
        <v>78</v>
      </c>
    </row>
    <row r="176" spans="1:21" x14ac:dyDescent="0.25">
      <c r="A176" s="5">
        <v>174</v>
      </c>
      <c r="B176" s="5">
        <v>261174</v>
      </c>
      <c r="C176" s="7" t="s">
        <v>413</v>
      </c>
      <c r="D176" s="5">
        <v>60184850</v>
      </c>
      <c r="E176" s="5" t="s">
        <v>27</v>
      </c>
      <c r="F176" s="5"/>
      <c r="G176" s="5"/>
      <c r="H176" s="5"/>
      <c r="I176" s="6" t="s">
        <v>659</v>
      </c>
      <c r="J176" s="3" t="str">
        <f t="shared" si="2"/>
        <v>X</v>
      </c>
      <c r="K176">
        <v>30</v>
      </c>
      <c r="L176">
        <v>30</v>
      </c>
      <c r="M176" t="s">
        <v>14</v>
      </c>
      <c r="N176" t="s">
        <v>15</v>
      </c>
      <c r="O176" t="s">
        <v>21</v>
      </c>
      <c r="P176" t="s">
        <v>14</v>
      </c>
      <c r="Q176" t="s">
        <v>15</v>
      </c>
      <c r="R176" t="s">
        <v>21</v>
      </c>
      <c r="S176" t="s">
        <v>414</v>
      </c>
      <c r="T176" t="s">
        <v>18</v>
      </c>
      <c r="U176" t="s">
        <v>19</v>
      </c>
    </row>
    <row r="177" spans="1:21" x14ac:dyDescent="0.25">
      <c r="A177" s="5">
        <v>175</v>
      </c>
      <c r="B177" s="5">
        <v>261175</v>
      </c>
      <c r="C177" s="7" t="s">
        <v>415</v>
      </c>
      <c r="D177" s="5">
        <v>60672501</v>
      </c>
      <c r="E177" s="5" t="s">
        <v>71</v>
      </c>
      <c r="F177" s="5"/>
      <c r="G177" s="5"/>
      <c r="H177" s="5"/>
      <c r="I177" s="6" t="s">
        <v>658</v>
      </c>
      <c r="J177" s="3" t="str">
        <f t="shared" si="2"/>
        <v/>
      </c>
      <c r="M177" t="s">
        <v>14</v>
      </c>
      <c r="N177" t="s">
        <v>15</v>
      </c>
      <c r="O177" t="s">
        <v>21</v>
      </c>
      <c r="P177" t="s">
        <v>14</v>
      </c>
      <c r="Q177" t="s">
        <v>15</v>
      </c>
      <c r="R177" t="s">
        <v>59</v>
      </c>
      <c r="S177" t="s">
        <v>416</v>
      </c>
      <c r="T177" t="s">
        <v>18</v>
      </c>
      <c r="U177" t="s">
        <v>19</v>
      </c>
    </row>
    <row r="178" spans="1:21" x14ac:dyDescent="0.25">
      <c r="A178" s="5">
        <v>176</v>
      </c>
      <c r="B178" s="5">
        <v>261176</v>
      </c>
      <c r="C178" s="7" t="s">
        <v>417</v>
      </c>
      <c r="D178" s="5">
        <v>61389669</v>
      </c>
      <c r="E178" s="5" t="s">
        <v>37</v>
      </c>
      <c r="F178" s="5"/>
      <c r="G178" s="5"/>
      <c r="H178" s="5"/>
      <c r="I178" s="6" t="s">
        <v>659</v>
      </c>
      <c r="J178" s="3" t="str">
        <f t="shared" si="2"/>
        <v>X</v>
      </c>
      <c r="K178">
        <v>30</v>
      </c>
      <c r="L178">
        <v>30</v>
      </c>
      <c r="M178" t="s">
        <v>14</v>
      </c>
      <c r="N178" t="s">
        <v>15</v>
      </c>
      <c r="O178" t="s">
        <v>16</v>
      </c>
      <c r="P178" t="s">
        <v>14</v>
      </c>
      <c r="Q178" t="s">
        <v>15</v>
      </c>
      <c r="R178" t="s">
        <v>96</v>
      </c>
      <c r="S178" t="s">
        <v>22</v>
      </c>
      <c r="T178" t="s">
        <v>18</v>
      </c>
      <c r="U178" t="s">
        <v>19</v>
      </c>
    </row>
    <row r="179" spans="1:21" x14ac:dyDescent="0.25">
      <c r="A179" s="5">
        <v>177</v>
      </c>
      <c r="B179" s="5">
        <v>261177</v>
      </c>
      <c r="C179" s="7" t="s">
        <v>418</v>
      </c>
      <c r="D179" s="5">
        <v>60077388</v>
      </c>
      <c r="E179" s="5" t="s">
        <v>80</v>
      </c>
      <c r="F179" s="5"/>
      <c r="G179" s="5"/>
      <c r="H179" s="5"/>
      <c r="I179" s="6" t="s">
        <v>659</v>
      </c>
      <c r="J179" s="3" t="str">
        <f t="shared" si="2"/>
        <v>X</v>
      </c>
      <c r="K179">
        <v>30</v>
      </c>
      <c r="L179">
        <v>30</v>
      </c>
      <c r="M179" t="s">
        <v>14</v>
      </c>
      <c r="N179" t="s">
        <v>31</v>
      </c>
      <c r="O179" t="s">
        <v>419</v>
      </c>
      <c r="P179" t="s">
        <v>14</v>
      </c>
      <c r="Q179" t="s">
        <v>15</v>
      </c>
      <c r="R179" t="s">
        <v>21</v>
      </c>
      <c r="S179" t="s">
        <v>420</v>
      </c>
      <c r="T179" t="s">
        <v>18</v>
      </c>
      <c r="U179" t="s">
        <v>19</v>
      </c>
    </row>
    <row r="180" spans="1:21" x14ac:dyDescent="0.25">
      <c r="A180" s="5">
        <v>178</v>
      </c>
      <c r="B180" s="5">
        <v>261178</v>
      </c>
      <c r="C180" s="7" t="s">
        <v>421</v>
      </c>
      <c r="D180" s="5">
        <v>62010307</v>
      </c>
      <c r="E180" s="5" t="s">
        <v>27</v>
      </c>
      <c r="F180" s="5"/>
      <c r="G180" s="5"/>
      <c r="H180" s="5"/>
      <c r="I180" s="6" t="s">
        <v>659</v>
      </c>
      <c r="J180" s="3" t="str">
        <f t="shared" si="2"/>
        <v>X</v>
      </c>
      <c r="K180">
        <v>30</v>
      </c>
      <c r="L180">
        <v>30</v>
      </c>
      <c r="M180" t="s">
        <v>422</v>
      </c>
      <c r="N180" t="s">
        <v>423</v>
      </c>
      <c r="O180" t="s">
        <v>424</v>
      </c>
      <c r="P180" t="s">
        <v>14</v>
      </c>
      <c r="Q180" t="s">
        <v>15</v>
      </c>
      <c r="R180" t="s">
        <v>24</v>
      </c>
      <c r="S180" t="s">
        <v>425</v>
      </c>
      <c r="T180" t="s">
        <v>18</v>
      </c>
      <c r="U180" t="s">
        <v>19</v>
      </c>
    </row>
    <row r="181" spans="1:21" x14ac:dyDescent="0.25">
      <c r="A181" s="5">
        <v>179</v>
      </c>
      <c r="B181" s="5">
        <v>261179</v>
      </c>
      <c r="C181" s="7" t="s">
        <v>426</v>
      </c>
      <c r="D181" s="5">
        <v>60677822</v>
      </c>
      <c r="E181" s="5" t="s">
        <v>27</v>
      </c>
      <c r="F181" s="5"/>
      <c r="G181" s="5"/>
      <c r="H181" s="5"/>
      <c r="I181" s="6" t="s">
        <v>659</v>
      </c>
      <c r="J181" s="3" t="str">
        <f t="shared" si="2"/>
        <v>X</v>
      </c>
      <c r="K181">
        <v>30</v>
      </c>
      <c r="L181">
        <v>30</v>
      </c>
      <c r="M181" t="s">
        <v>14</v>
      </c>
      <c r="N181" t="s">
        <v>15</v>
      </c>
      <c r="O181" t="s">
        <v>16</v>
      </c>
      <c r="P181" t="s">
        <v>14</v>
      </c>
      <c r="Q181" t="s">
        <v>15</v>
      </c>
      <c r="R181" t="s">
        <v>24</v>
      </c>
      <c r="S181" t="s">
        <v>427</v>
      </c>
      <c r="T181" t="s">
        <v>18</v>
      </c>
      <c r="U181" t="s">
        <v>19</v>
      </c>
    </row>
    <row r="182" spans="1:21" x14ac:dyDescent="0.25">
      <c r="A182" s="5">
        <v>180</v>
      </c>
      <c r="B182" s="5">
        <v>261180</v>
      </c>
      <c r="C182" s="7" t="s">
        <v>428</v>
      </c>
      <c r="D182" s="5">
        <v>62051912</v>
      </c>
      <c r="E182" s="5" t="s">
        <v>13</v>
      </c>
      <c r="F182" s="5"/>
      <c r="G182" s="5"/>
      <c r="H182" s="5"/>
      <c r="I182" s="6" t="s">
        <v>659</v>
      </c>
      <c r="J182" s="3" t="str">
        <f t="shared" si="2"/>
        <v>X</v>
      </c>
      <c r="K182">
        <v>30</v>
      </c>
      <c r="L182">
        <v>30</v>
      </c>
      <c r="M182" t="s">
        <v>14</v>
      </c>
      <c r="N182" t="s">
        <v>15</v>
      </c>
      <c r="O182" t="s">
        <v>16</v>
      </c>
      <c r="P182" t="s">
        <v>14</v>
      </c>
      <c r="Q182" t="s">
        <v>15</v>
      </c>
      <c r="R182" t="s">
        <v>16</v>
      </c>
      <c r="S182" t="s">
        <v>429</v>
      </c>
      <c r="T182" t="s">
        <v>29</v>
      </c>
      <c r="U182" t="s">
        <v>19</v>
      </c>
    </row>
    <row r="183" spans="1:21" x14ac:dyDescent="0.25">
      <c r="A183" s="5">
        <v>181</v>
      </c>
      <c r="B183" s="5">
        <v>261181</v>
      </c>
      <c r="C183" s="7" t="s">
        <v>430</v>
      </c>
      <c r="D183" s="5">
        <v>61309468</v>
      </c>
      <c r="E183" s="5" t="s">
        <v>27</v>
      </c>
      <c r="F183" s="5"/>
      <c r="G183" s="5"/>
      <c r="H183" s="5"/>
      <c r="I183" s="6" t="s">
        <v>659</v>
      </c>
      <c r="J183" s="3" t="str">
        <f t="shared" si="2"/>
        <v>X</v>
      </c>
      <c r="K183">
        <v>30</v>
      </c>
      <c r="L183">
        <v>30</v>
      </c>
      <c r="M183" t="s">
        <v>14</v>
      </c>
      <c r="N183" t="s">
        <v>15</v>
      </c>
      <c r="O183" t="s">
        <v>16</v>
      </c>
      <c r="P183" t="s">
        <v>14</v>
      </c>
      <c r="Q183" t="s">
        <v>15</v>
      </c>
      <c r="R183" t="s">
        <v>21</v>
      </c>
      <c r="S183" t="s">
        <v>431</v>
      </c>
      <c r="T183" t="s">
        <v>29</v>
      </c>
      <c r="U183" t="s">
        <v>19</v>
      </c>
    </row>
    <row r="184" spans="1:21" x14ac:dyDescent="0.25">
      <c r="A184" s="5">
        <v>182</v>
      </c>
      <c r="B184" s="5">
        <v>261182</v>
      </c>
      <c r="C184" s="7" t="s">
        <v>432</v>
      </c>
      <c r="D184" s="5">
        <v>61964754</v>
      </c>
      <c r="E184" s="5" t="s">
        <v>27</v>
      </c>
      <c r="F184" s="5"/>
      <c r="G184" s="5"/>
      <c r="H184" s="5"/>
      <c r="I184" s="6" t="s">
        <v>659</v>
      </c>
      <c r="J184" s="3" t="str">
        <f t="shared" si="2"/>
        <v>X</v>
      </c>
      <c r="K184">
        <v>30</v>
      </c>
      <c r="L184">
        <v>30</v>
      </c>
      <c r="M184" t="s">
        <v>14</v>
      </c>
      <c r="N184" t="s">
        <v>15</v>
      </c>
      <c r="O184" t="s">
        <v>21</v>
      </c>
      <c r="P184" t="s">
        <v>14</v>
      </c>
      <c r="Q184" t="s">
        <v>15</v>
      </c>
      <c r="R184" t="s">
        <v>21</v>
      </c>
      <c r="S184" t="s">
        <v>229</v>
      </c>
      <c r="T184" t="s">
        <v>29</v>
      </c>
      <c r="U184" t="s">
        <v>19</v>
      </c>
    </row>
    <row r="185" spans="1:21" x14ac:dyDescent="0.25">
      <c r="A185" s="5">
        <v>183</v>
      </c>
      <c r="B185" s="5">
        <v>261183</v>
      </c>
      <c r="C185" s="7" t="s">
        <v>433</v>
      </c>
      <c r="D185" s="5">
        <v>61779472</v>
      </c>
      <c r="E185" s="5" t="s">
        <v>71</v>
      </c>
      <c r="F185" s="5"/>
      <c r="G185" s="5"/>
      <c r="H185" s="5"/>
      <c r="I185" s="6" t="s">
        <v>659</v>
      </c>
      <c r="J185" s="3" t="str">
        <f t="shared" si="2"/>
        <v>X</v>
      </c>
      <c r="K185">
        <v>30</v>
      </c>
      <c r="L185">
        <v>30</v>
      </c>
      <c r="M185" t="s">
        <v>14</v>
      </c>
      <c r="N185" t="s">
        <v>15</v>
      </c>
      <c r="O185" t="s">
        <v>16</v>
      </c>
      <c r="P185" t="s">
        <v>14</v>
      </c>
      <c r="Q185" t="s">
        <v>15</v>
      </c>
      <c r="R185" t="s">
        <v>96</v>
      </c>
      <c r="S185" t="s">
        <v>434</v>
      </c>
      <c r="T185" t="s">
        <v>18</v>
      </c>
      <c r="U185" t="s">
        <v>19</v>
      </c>
    </row>
    <row r="186" spans="1:21" x14ac:dyDescent="0.25">
      <c r="A186" s="5">
        <v>184</v>
      </c>
      <c r="B186" s="5">
        <v>261184</v>
      </c>
      <c r="C186" s="7" t="s">
        <v>435</v>
      </c>
      <c r="D186" s="5">
        <v>61428674</v>
      </c>
      <c r="E186" s="5" t="s">
        <v>27</v>
      </c>
      <c r="F186" s="5"/>
      <c r="G186" s="5"/>
      <c r="H186" s="5"/>
      <c r="I186" s="6" t="s">
        <v>659</v>
      </c>
      <c r="J186" s="3" t="str">
        <f t="shared" si="2"/>
        <v>X</v>
      </c>
      <c r="K186">
        <v>30</v>
      </c>
      <c r="L186">
        <v>30</v>
      </c>
      <c r="M186" t="s">
        <v>14</v>
      </c>
      <c r="N186" t="s">
        <v>15</v>
      </c>
      <c r="O186" t="s">
        <v>21</v>
      </c>
      <c r="P186" t="s">
        <v>14</v>
      </c>
      <c r="Q186" t="s">
        <v>15</v>
      </c>
      <c r="R186" t="s">
        <v>21</v>
      </c>
      <c r="S186" t="s">
        <v>75</v>
      </c>
      <c r="T186" t="s">
        <v>18</v>
      </c>
      <c r="U186" t="s">
        <v>46</v>
      </c>
    </row>
    <row r="187" spans="1:21" x14ac:dyDescent="0.25">
      <c r="A187" s="5">
        <v>185</v>
      </c>
      <c r="B187" s="5">
        <v>261185</v>
      </c>
      <c r="C187" s="7" t="s">
        <v>436</v>
      </c>
      <c r="D187" s="5">
        <v>76229275</v>
      </c>
      <c r="E187" s="5" t="s">
        <v>37</v>
      </c>
      <c r="F187" s="5"/>
      <c r="G187" s="5"/>
      <c r="H187" s="5"/>
      <c r="I187" s="6" t="s">
        <v>658</v>
      </c>
      <c r="J187" s="3" t="str">
        <f t="shared" si="2"/>
        <v/>
      </c>
      <c r="M187" t="s">
        <v>14</v>
      </c>
      <c r="N187" t="s">
        <v>15</v>
      </c>
      <c r="O187" t="s">
        <v>21</v>
      </c>
      <c r="P187" t="s">
        <v>14</v>
      </c>
      <c r="Q187" t="s">
        <v>15</v>
      </c>
      <c r="R187" t="s">
        <v>21</v>
      </c>
      <c r="S187" t="s">
        <v>437</v>
      </c>
      <c r="T187" t="s">
        <v>18</v>
      </c>
      <c r="U187" t="s">
        <v>46</v>
      </c>
    </row>
    <row r="188" spans="1:21" x14ac:dyDescent="0.25">
      <c r="A188" s="5">
        <v>186</v>
      </c>
      <c r="B188" s="5">
        <v>261186</v>
      </c>
      <c r="C188" s="7" t="s">
        <v>438</v>
      </c>
      <c r="D188" s="5">
        <v>60672534</v>
      </c>
      <c r="E188" s="5" t="s">
        <v>27</v>
      </c>
      <c r="F188" s="5"/>
      <c r="G188" s="5"/>
      <c r="H188" s="5"/>
      <c r="I188" s="6" t="s">
        <v>659</v>
      </c>
      <c r="J188" s="3" t="str">
        <f t="shared" si="2"/>
        <v>X</v>
      </c>
      <c r="K188">
        <v>30</v>
      </c>
      <c r="L188">
        <v>30</v>
      </c>
      <c r="M188" t="s">
        <v>14</v>
      </c>
      <c r="N188" t="s">
        <v>15</v>
      </c>
      <c r="O188" t="s">
        <v>59</v>
      </c>
      <c r="P188" t="s">
        <v>14</v>
      </c>
      <c r="Q188" t="s">
        <v>15</v>
      </c>
      <c r="R188" t="s">
        <v>59</v>
      </c>
      <c r="S188" t="s">
        <v>439</v>
      </c>
      <c r="T188" t="s">
        <v>18</v>
      </c>
      <c r="U188" t="s">
        <v>19</v>
      </c>
    </row>
    <row r="189" spans="1:21" x14ac:dyDescent="0.25">
      <c r="A189" s="5">
        <v>187</v>
      </c>
      <c r="B189" s="5">
        <v>261187</v>
      </c>
      <c r="C189" s="7" t="s">
        <v>440</v>
      </c>
      <c r="D189" s="5">
        <v>60672466</v>
      </c>
      <c r="E189" s="5" t="s">
        <v>27</v>
      </c>
      <c r="F189" s="5"/>
      <c r="G189" s="5"/>
      <c r="H189" s="5"/>
      <c r="I189" s="6" t="s">
        <v>659</v>
      </c>
      <c r="J189" s="3" t="str">
        <f t="shared" si="2"/>
        <v>X</v>
      </c>
      <c r="K189">
        <v>30</v>
      </c>
      <c r="L189">
        <v>30</v>
      </c>
      <c r="M189" t="s">
        <v>14</v>
      </c>
      <c r="N189" t="s">
        <v>15</v>
      </c>
      <c r="O189" t="s">
        <v>21</v>
      </c>
      <c r="P189" t="s">
        <v>14</v>
      </c>
      <c r="Q189" t="s">
        <v>15</v>
      </c>
      <c r="R189" t="s">
        <v>59</v>
      </c>
      <c r="S189" t="s">
        <v>254</v>
      </c>
      <c r="T189" t="s">
        <v>29</v>
      </c>
      <c r="U189" t="s">
        <v>19</v>
      </c>
    </row>
    <row r="190" spans="1:21" x14ac:dyDescent="0.25">
      <c r="A190" s="5">
        <v>188</v>
      </c>
      <c r="B190" s="5">
        <v>261188</v>
      </c>
      <c r="C190" s="7" t="s">
        <v>441</v>
      </c>
      <c r="D190" s="5">
        <v>61315522</v>
      </c>
      <c r="E190" s="5" t="s">
        <v>80</v>
      </c>
      <c r="F190" s="5"/>
      <c r="G190" s="5"/>
      <c r="H190" s="5"/>
      <c r="I190" s="6" t="s">
        <v>659</v>
      </c>
      <c r="J190" s="3" t="str">
        <f t="shared" si="2"/>
        <v>X</v>
      </c>
      <c r="K190">
        <v>30</v>
      </c>
      <c r="L190">
        <v>30</v>
      </c>
      <c r="M190" t="s">
        <v>14</v>
      </c>
      <c r="N190" t="s">
        <v>15</v>
      </c>
      <c r="O190" t="s">
        <v>16</v>
      </c>
      <c r="P190" t="s">
        <v>14</v>
      </c>
      <c r="Q190" t="s">
        <v>15</v>
      </c>
      <c r="R190" t="s">
        <v>21</v>
      </c>
      <c r="S190" t="s">
        <v>381</v>
      </c>
      <c r="T190" t="s">
        <v>18</v>
      </c>
      <c r="U190" t="s">
        <v>19</v>
      </c>
    </row>
    <row r="191" spans="1:21" x14ac:dyDescent="0.25">
      <c r="A191" s="5">
        <v>189</v>
      </c>
      <c r="B191" s="5">
        <v>261189</v>
      </c>
      <c r="C191" s="7" t="s">
        <v>442</v>
      </c>
      <c r="D191" s="5">
        <v>61611461</v>
      </c>
      <c r="E191" s="5" t="s">
        <v>13</v>
      </c>
      <c r="F191" s="5"/>
      <c r="G191" s="5"/>
      <c r="H191" s="5"/>
      <c r="I191" s="6" t="s">
        <v>659</v>
      </c>
      <c r="J191" s="3" t="str">
        <f t="shared" si="2"/>
        <v>X</v>
      </c>
      <c r="K191">
        <v>30</v>
      </c>
      <c r="L191">
        <v>30</v>
      </c>
      <c r="M191" t="s">
        <v>14</v>
      </c>
      <c r="N191" t="s">
        <v>15</v>
      </c>
      <c r="O191" t="s">
        <v>16</v>
      </c>
      <c r="P191" t="s">
        <v>14</v>
      </c>
      <c r="Q191" t="s">
        <v>15</v>
      </c>
      <c r="R191" t="s">
        <v>38</v>
      </c>
      <c r="S191" t="s">
        <v>443</v>
      </c>
      <c r="T191" t="s">
        <v>18</v>
      </c>
      <c r="U191" t="s">
        <v>19</v>
      </c>
    </row>
    <row r="192" spans="1:21" x14ac:dyDescent="0.25">
      <c r="A192" s="5">
        <v>190</v>
      </c>
      <c r="B192" s="5">
        <v>261190</v>
      </c>
      <c r="C192" s="7" t="s">
        <v>444</v>
      </c>
      <c r="D192" s="5">
        <v>71675709</v>
      </c>
      <c r="E192" s="5" t="s">
        <v>37</v>
      </c>
      <c r="F192" s="5"/>
      <c r="G192" s="5"/>
      <c r="H192" s="5"/>
      <c r="I192" s="6" t="s">
        <v>659</v>
      </c>
      <c r="J192" s="3" t="str">
        <f t="shared" si="2"/>
        <v>X</v>
      </c>
      <c r="K192">
        <v>30</v>
      </c>
      <c r="L192">
        <v>30</v>
      </c>
      <c r="M192" t="s">
        <v>14</v>
      </c>
      <c r="N192" t="s">
        <v>52</v>
      </c>
      <c r="O192" t="s">
        <v>53</v>
      </c>
      <c r="P192" t="s">
        <v>14</v>
      </c>
      <c r="Q192" t="s">
        <v>15</v>
      </c>
      <c r="R192" t="s">
        <v>16</v>
      </c>
      <c r="S192" t="s">
        <v>445</v>
      </c>
      <c r="T192" t="s">
        <v>18</v>
      </c>
      <c r="U192" t="s">
        <v>46</v>
      </c>
    </row>
    <row r="193" spans="1:21" x14ac:dyDescent="0.25">
      <c r="A193" s="5">
        <v>191</v>
      </c>
      <c r="B193" s="5">
        <v>261191</v>
      </c>
      <c r="C193" s="7" t="s">
        <v>446</v>
      </c>
      <c r="D193" s="5">
        <v>61508631</v>
      </c>
      <c r="E193" s="5" t="s">
        <v>13</v>
      </c>
      <c r="F193" s="5"/>
      <c r="G193" s="5"/>
      <c r="H193" s="5"/>
      <c r="I193" s="6" t="s">
        <v>659</v>
      </c>
      <c r="J193" s="3" t="str">
        <f t="shared" si="2"/>
        <v>X</v>
      </c>
      <c r="K193">
        <v>30</v>
      </c>
      <c r="L193">
        <v>30</v>
      </c>
      <c r="M193" t="s">
        <v>447</v>
      </c>
      <c r="N193" t="s">
        <v>448</v>
      </c>
      <c r="O193" t="s">
        <v>449</v>
      </c>
      <c r="P193" t="s">
        <v>14</v>
      </c>
      <c r="Q193" t="s">
        <v>15</v>
      </c>
      <c r="R193" t="s">
        <v>96</v>
      </c>
      <c r="S193" t="s">
        <v>450</v>
      </c>
      <c r="T193" t="s">
        <v>18</v>
      </c>
      <c r="U193" t="s">
        <v>19</v>
      </c>
    </row>
    <row r="194" spans="1:21" x14ac:dyDescent="0.25">
      <c r="A194" s="5">
        <v>192</v>
      </c>
      <c r="B194" s="5">
        <v>261192</v>
      </c>
      <c r="C194" s="7" t="s">
        <v>451</v>
      </c>
      <c r="D194" s="5">
        <v>76412206</v>
      </c>
      <c r="E194" s="5" t="s">
        <v>13</v>
      </c>
      <c r="F194" s="5"/>
      <c r="G194" s="5"/>
      <c r="H194" s="5"/>
      <c r="I194" s="6" t="s">
        <v>658</v>
      </c>
      <c r="J194" s="3" t="str">
        <f t="shared" si="2"/>
        <v/>
      </c>
      <c r="M194" t="s">
        <v>14</v>
      </c>
      <c r="N194" t="s">
        <v>15</v>
      </c>
      <c r="O194" t="s">
        <v>59</v>
      </c>
      <c r="P194" t="s">
        <v>14</v>
      </c>
      <c r="Q194" t="s">
        <v>15</v>
      </c>
      <c r="R194" t="s">
        <v>59</v>
      </c>
      <c r="S194" t="s">
        <v>452</v>
      </c>
      <c r="T194" t="s">
        <v>29</v>
      </c>
      <c r="U194" t="s">
        <v>19</v>
      </c>
    </row>
    <row r="195" spans="1:21" x14ac:dyDescent="0.25">
      <c r="A195" s="5">
        <v>193</v>
      </c>
      <c r="B195" s="5">
        <v>261193</v>
      </c>
      <c r="C195" s="7" t="s">
        <v>453</v>
      </c>
      <c r="D195" s="5">
        <v>72346804</v>
      </c>
      <c r="E195" s="5" t="s">
        <v>13</v>
      </c>
      <c r="F195" s="5"/>
      <c r="G195" s="5"/>
      <c r="H195" s="5"/>
      <c r="I195" s="6" t="s">
        <v>658</v>
      </c>
      <c r="J195" s="3" t="str">
        <f t="shared" ref="J195:J258" si="3">IF(AND(K195=30, L195=30), "X", "")</f>
        <v/>
      </c>
      <c r="M195" t="s">
        <v>454</v>
      </c>
      <c r="N195" t="s">
        <v>455</v>
      </c>
      <c r="O195" t="s">
        <v>456</v>
      </c>
      <c r="P195" t="s">
        <v>14</v>
      </c>
      <c r="Q195" t="s">
        <v>15</v>
      </c>
      <c r="R195" t="s">
        <v>21</v>
      </c>
      <c r="S195" t="s">
        <v>283</v>
      </c>
      <c r="T195" t="s">
        <v>29</v>
      </c>
      <c r="U195" t="s">
        <v>78</v>
      </c>
    </row>
    <row r="196" spans="1:21" x14ac:dyDescent="0.25">
      <c r="A196" s="5">
        <v>194</v>
      </c>
      <c r="B196" s="5">
        <v>261194</v>
      </c>
      <c r="C196" s="7" t="s">
        <v>457</v>
      </c>
      <c r="D196" s="5">
        <v>76124883</v>
      </c>
      <c r="E196" s="5" t="s">
        <v>71</v>
      </c>
      <c r="F196" s="5"/>
      <c r="G196" s="5"/>
      <c r="H196" s="5"/>
      <c r="I196" s="6" t="s">
        <v>659</v>
      </c>
      <c r="J196" s="3" t="str">
        <f t="shared" si="3"/>
        <v>X</v>
      </c>
      <c r="K196">
        <v>30</v>
      </c>
      <c r="L196">
        <v>30</v>
      </c>
      <c r="M196" t="s">
        <v>14</v>
      </c>
      <c r="N196" t="s">
        <v>52</v>
      </c>
      <c r="O196" t="s">
        <v>458</v>
      </c>
      <c r="P196" t="s">
        <v>14</v>
      </c>
      <c r="Q196" t="s">
        <v>15</v>
      </c>
      <c r="R196" t="s">
        <v>38</v>
      </c>
      <c r="S196" t="s">
        <v>459</v>
      </c>
      <c r="T196" t="s">
        <v>18</v>
      </c>
      <c r="U196" t="s">
        <v>19</v>
      </c>
    </row>
    <row r="197" spans="1:21" x14ac:dyDescent="0.25">
      <c r="A197" s="5">
        <v>195</v>
      </c>
      <c r="B197" s="5">
        <v>261195</v>
      </c>
      <c r="C197" s="7" t="s">
        <v>460</v>
      </c>
      <c r="D197" s="5">
        <v>61443576</v>
      </c>
      <c r="E197" s="5" t="s">
        <v>80</v>
      </c>
      <c r="F197" s="5"/>
      <c r="G197" s="5"/>
      <c r="H197" s="5"/>
      <c r="I197" s="6" t="s">
        <v>659</v>
      </c>
      <c r="J197" s="3" t="str">
        <f t="shared" si="3"/>
        <v>X</v>
      </c>
      <c r="K197">
        <v>30</v>
      </c>
      <c r="L197">
        <v>30</v>
      </c>
      <c r="M197" t="s">
        <v>14</v>
      </c>
      <c r="N197" t="s">
        <v>15</v>
      </c>
      <c r="O197" t="s">
        <v>16</v>
      </c>
      <c r="P197" t="s">
        <v>14</v>
      </c>
      <c r="Q197" t="s">
        <v>15</v>
      </c>
      <c r="R197" t="s">
        <v>16</v>
      </c>
      <c r="S197" t="s">
        <v>461</v>
      </c>
      <c r="T197" t="s">
        <v>29</v>
      </c>
      <c r="U197" t="s">
        <v>78</v>
      </c>
    </row>
    <row r="198" spans="1:21" x14ac:dyDescent="0.25">
      <c r="A198" s="5">
        <v>196</v>
      </c>
      <c r="B198" s="5">
        <v>261196</v>
      </c>
      <c r="C198" s="7" t="s">
        <v>462</v>
      </c>
      <c r="D198" s="5">
        <v>61309438</v>
      </c>
      <c r="E198" s="5" t="s">
        <v>13</v>
      </c>
      <c r="F198" s="5"/>
      <c r="G198" s="5"/>
      <c r="H198" s="5"/>
      <c r="I198" s="6" t="s">
        <v>659</v>
      </c>
      <c r="J198" s="3" t="str">
        <f t="shared" si="3"/>
        <v>X</v>
      </c>
      <c r="K198">
        <v>30</v>
      </c>
      <c r="L198">
        <v>30</v>
      </c>
      <c r="M198" t="s">
        <v>14</v>
      </c>
      <c r="N198" t="s">
        <v>15</v>
      </c>
      <c r="O198" t="s">
        <v>16</v>
      </c>
      <c r="P198" t="s">
        <v>14</v>
      </c>
      <c r="Q198" t="s">
        <v>15</v>
      </c>
      <c r="R198" t="s">
        <v>16</v>
      </c>
      <c r="S198" t="s">
        <v>463</v>
      </c>
      <c r="T198" t="s">
        <v>29</v>
      </c>
      <c r="U198" t="s">
        <v>46</v>
      </c>
    </row>
    <row r="199" spans="1:21" x14ac:dyDescent="0.25">
      <c r="A199" s="5">
        <v>197</v>
      </c>
      <c r="B199" s="5">
        <v>261197</v>
      </c>
      <c r="C199" s="7" t="s">
        <v>464</v>
      </c>
      <c r="D199" s="5">
        <v>62145826</v>
      </c>
      <c r="E199" s="5" t="s">
        <v>27</v>
      </c>
      <c r="F199" s="5"/>
      <c r="G199" s="5"/>
      <c r="H199" s="5"/>
      <c r="I199" s="6" t="s">
        <v>659</v>
      </c>
      <c r="J199" s="3" t="str">
        <f t="shared" si="3"/>
        <v>X</v>
      </c>
      <c r="K199">
        <v>30</v>
      </c>
      <c r="L199">
        <v>30</v>
      </c>
      <c r="M199" t="s">
        <v>14</v>
      </c>
      <c r="N199" t="s">
        <v>15</v>
      </c>
      <c r="O199" t="s">
        <v>16</v>
      </c>
      <c r="P199" t="s">
        <v>14</v>
      </c>
      <c r="Q199" t="s">
        <v>15</v>
      </c>
      <c r="R199" t="s">
        <v>59</v>
      </c>
      <c r="S199" t="s">
        <v>408</v>
      </c>
      <c r="T199" t="s">
        <v>18</v>
      </c>
      <c r="U199" t="s">
        <v>19</v>
      </c>
    </row>
    <row r="200" spans="1:21" x14ac:dyDescent="0.25">
      <c r="A200" s="5">
        <v>198</v>
      </c>
      <c r="B200" s="5">
        <v>261198</v>
      </c>
      <c r="C200" s="7" t="s">
        <v>465</v>
      </c>
      <c r="D200" s="5">
        <v>61507579</v>
      </c>
      <c r="E200" s="5" t="s">
        <v>71</v>
      </c>
      <c r="F200" s="5"/>
      <c r="G200" s="5"/>
      <c r="H200" s="5"/>
      <c r="I200" s="6" t="s">
        <v>659</v>
      </c>
      <c r="J200" s="3" t="str">
        <f t="shared" si="3"/>
        <v>X</v>
      </c>
      <c r="K200">
        <v>30</v>
      </c>
      <c r="L200">
        <v>30</v>
      </c>
      <c r="M200" t="s">
        <v>14</v>
      </c>
      <c r="N200" t="s">
        <v>15</v>
      </c>
      <c r="O200" t="s">
        <v>96</v>
      </c>
      <c r="P200" t="s">
        <v>14</v>
      </c>
      <c r="Q200" t="s">
        <v>15</v>
      </c>
      <c r="R200" t="s">
        <v>96</v>
      </c>
      <c r="S200" t="s">
        <v>50</v>
      </c>
      <c r="T200" t="s">
        <v>18</v>
      </c>
      <c r="U200" t="s">
        <v>46</v>
      </c>
    </row>
    <row r="201" spans="1:21" x14ac:dyDescent="0.25">
      <c r="A201" s="5">
        <v>199</v>
      </c>
      <c r="B201" s="5">
        <v>261199</v>
      </c>
      <c r="C201" s="7" t="s">
        <v>466</v>
      </c>
      <c r="D201" s="5">
        <v>77432569</v>
      </c>
      <c r="E201" s="5" t="s">
        <v>13</v>
      </c>
      <c r="F201" s="5"/>
      <c r="G201" s="5"/>
      <c r="H201" s="5"/>
      <c r="I201" s="6" t="s">
        <v>659</v>
      </c>
      <c r="J201" s="3" t="str">
        <f t="shared" si="3"/>
        <v>X</v>
      </c>
      <c r="K201">
        <v>30</v>
      </c>
      <c r="L201">
        <v>30</v>
      </c>
      <c r="M201" t="s">
        <v>14</v>
      </c>
      <c r="N201" t="s">
        <v>15</v>
      </c>
      <c r="O201" t="s">
        <v>21</v>
      </c>
      <c r="P201" t="s">
        <v>14</v>
      </c>
      <c r="Q201" t="s">
        <v>15</v>
      </c>
      <c r="R201" t="s">
        <v>21</v>
      </c>
      <c r="S201" t="s">
        <v>427</v>
      </c>
      <c r="T201" t="s">
        <v>29</v>
      </c>
      <c r="U201" t="s">
        <v>19</v>
      </c>
    </row>
    <row r="202" spans="1:21" x14ac:dyDescent="0.25">
      <c r="A202" s="5">
        <v>200</v>
      </c>
      <c r="B202" s="5">
        <v>261200</v>
      </c>
      <c r="C202" s="7" t="s">
        <v>467</v>
      </c>
      <c r="D202" s="5">
        <v>62836938</v>
      </c>
      <c r="E202" s="5" t="s">
        <v>13</v>
      </c>
      <c r="F202" s="5"/>
      <c r="G202" s="5"/>
      <c r="H202" s="5"/>
      <c r="I202" s="6" t="s">
        <v>658</v>
      </c>
      <c r="J202" s="3" t="str">
        <f t="shared" si="3"/>
        <v/>
      </c>
      <c r="M202" t="s">
        <v>14</v>
      </c>
      <c r="N202" t="s">
        <v>15</v>
      </c>
      <c r="O202" t="s">
        <v>16</v>
      </c>
      <c r="P202" t="s">
        <v>14</v>
      </c>
      <c r="Q202" t="s">
        <v>15</v>
      </c>
      <c r="R202" t="s">
        <v>16</v>
      </c>
      <c r="S202" t="s">
        <v>468</v>
      </c>
      <c r="T202" t="s">
        <v>18</v>
      </c>
      <c r="U202" t="s">
        <v>19</v>
      </c>
    </row>
    <row r="203" spans="1:21" x14ac:dyDescent="0.25">
      <c r="A203" s="5">
        <v>201</v>
      </c>
      <c r="B203" s="5">
        <v>261201</v>
      </c>
      <c r="C203" s="7" t="s">
        <v>469</v>
      </c>
      <c r="D203" s="5">
        <v>62051747</v>
      </c>
      <c r="E203" s="5" t="s">
        <v>80</v>
      </c>
      <c r="F203" s="5"/>
      <c r="G203" s="5"/>
      <c r="H203" s="5"/>
      <c r="I203" s="6" t="s">
        <v>659</v>
      </c>
      <c r="J203" s="3" t="str">
        <f t="shared" si="3"/>
        <v>X</v>
      </c>
      <c r="K203">
        <v>30</v>
      </c>
      <c r="L203">
        <v>30</v>
      </c>
      <c r="M203" t="s">
        <v>14</v>
      </c>
      <c r="N203" t="s">
        <v>15</v>
      </c>
      <c r="O203" t="s">
        <v>21</v>
      </c>
      <c r="P203" t="s">
        <v>14</v>
      </c>
      <c r="Q203" t="s">
        <v>15</v>
      </c>
      <c r="R203" t="s">
        <v>21</v>
      </c>
      <c r="S203" t="s">
        <v>470</v>
      </c>
      <c r="T203" t="s">
        <v>18</v>
      </c>
      <c r="U203" t="s">
        <v>19</v>
      </c>
    </row>
    <row r="204" spans="1:21" x14ac:dyDescent="0.25">
      <c r="A204" s="5">
        <v>202</v>
      </c>
      <c r="B204" s="5">
        <v>261202</v>
      </c>
      <c r="C204" s="7" t="s">
        <v>471</v>
      </c>
      <c r="D204" s="5">
        <v>61525932</v>
      </c>
      <c r="E204" s="5" t="s">
        <v>80</v>
      </c>
      <c r="F204" s="5"/>
      <c r="G204" s="5"/>
      <c r="H204" s="5"/>
      <c r="I204" s="6" t="s">
        <v>658</v>
      </c>
      <c r="J204" s="3" t="str">
        <f t="shared" si="3"/>
        <v/>
      </c>
      <c r="M204" t="s">
        <v>14</v>
      </c>
      <c r="N204" t="s">
        <v>15</v>
      </c>
      <c r="O204" t="s">
        <v>16</v>
      </c>
      <c r="P204" t="s">
        <v>14</v>
      </c>
      <c r="Q204" t="s">
        <v>15</v>
      </c>
      <c r="R204" t="s">
        <v>16</v>
      </c>
      <c r="S204" t="s">
        <v>411</v>
      </c>
      <c r="T204" t="s">
        <v>29</v>
      </c>
      <c r="U204" t="s">
        <v>19</v>
      </c>
    </row>
    <row r="205" spans="1:21" x14ac:dyDescent="0.25">
      <c r="A205" s="5">
        <v>203</v>
      </c>
      <c r="B205" s="5">
        <v>261203</v>
      </c>
      <c r="C205" s="7" t="s">
        <v>472</v>
      </c>
      <c r="D205" s="5">
        <v>61309369</v>
      </c>
      <c r="E205" s="5" t="s">
        <v>113</v>
      </c>
      <c r="F205" s="5"/>
      <c r="G205" s="5"/>
      <c r="H205" s="5"/>
      <c r="I205" s="6" t="s">
        <v>659</v>
      </c>
      <c r="J205" s="3" t="str">
        <f t="shared" si="3"/>
        <v>X</v>
      </c>
      <c r="K205">
        <v>30</v>
      </c>
      <c r="L205">
        <v>30</v>
      </c>
      <c r="M205" t="s">
        <v>14</v>
      </c>
      <c r="N205" t="s">
        <v>15</v>
      </c>
      <c r="O205" t="s">
        <v>16</v>
      </c>
      <c r="P205" t="s">
        <v>14</v>
      </c>
      <c r="Q205" t="s">
        <v>15</v>
      </c>
      <c r="R205" t="s">
        <v>21</v>
      </c>
      <c r="S205" t="s">
        <v>473</v>
      </c>
      <c r="T205" t="s">
        <v>18</v>
      </c>
      <c r="U205" t="s">
        <v>19</v>
      </c>
    </row>
    <row r="206" spans="1:21" x14ac:dyDescent="0.25">
      <c r="A206" s="5">
        <v>204</v>
      </c>
      <c r="B206" s="5">
        <v>261204</v>
      </c>
      <c r="C206" s="7" t="s">
        <v>474</v>
      </c>
      <c r="D206" s="5">
        <v>60330154</v>
      </c>
      <c r="E206" s="5" t="s">
        <v>113</v>
      </c>
      <c r="F206" s="5"/>
      <c r="G206" s="5"/>
      <c r="H206" s="5"/>
      <c r="I206" s="6" t="s">
        <v>659</v>
      </c>
      <c r="J206" s="3" t="str">
        <f t="shared" si="3"/>
        <v>X</v>
      </c>
      <c r="K206">
        <v>30</v>
      </c>
      <c r="L206">
        <v>30</v>
      </c>
      <c r="M206" t="s">
        <v>195</v>
      </c>
      <c r="N206" t="s">
        <v>475</v>
      </c>
      <c r="O206" t="s">
        <v>476</v>
      </c>
      <c r="P206" t="s">
        <v>14</v>
      </c>
      <c r="Q206" t="s">
        <v>15</v>
      </c>
      <c r="R206" t="s">
        <v>21</v>
      </c>
      <c r="S206" t="s">
        <v>477</v>
      </c>
      <c r="T206" t="s">
        <v>18</v>
      </c>
      <c r="U206" t="s">
        <v>19</v>
      </c>
    </row>
    <row r="207" spans="1:21" x14ac:dyDescent="0.25">
      <c r="A207" s="5">
        <v>205</v>
      </c>
      <c r="B207" s="5">
        <v>261205</v>
      </c>
      <c r="C207" s="7" t="s">
        <v>478</v>
      </c>
      <c r="D207" s="5">
        <v>61779665</v>
      </c>
      <c r="E207" s="5" t="s">
        <v>27</v>
      </c>
      <c r="F207" s="5"/>
      <c r="G207" s="5"/>
      <c r="H207" s="5"/>
      <c r="I207" s="6" t="s">
        <v>659</v>
      </c>
      <c r="J207" s="3" t="str">
        <f t="shared" si="3"/>
        <v>X</v>
      </c>
      <c r="K207">
        <v>30</v>
      </c>
      <c r="L207">
        <v>30</v>
      </c>
      <c r="M207" t="s">
        <v>14</v>
      </c>
      <c r="N207" t="s">
        <v>15</v>
      </c>
      <c r="O207" t="s">
        <v>16</v>
      </c>
      <c r="P207" t="s">
        <v>14</v>
      </c>
      <c r="Q207" t="s">
        <v>15</v>
      </c>
      <c r="R207" t="s">
        <v>59</v>
      </c>
      <c r="S207" t="s">
        <v>479</v>
      </c>
      <c r="T207" t="s">
        <v>18</v>
      </c>
      <c r="U207" t="s">
        <v>19</v>
      </c>
    </row>
    <row r="208" spans="1:21" x14ac:dyDescent="0.25">
      <c r="A208" s="5">
        <v>206</v>
      </c>
      <c r="B208" s="5">
        <v>261206</v>
      </c>
      <c r="C208" s="7" t="s">
        <v>480</v>
      </c>
      <c r="D208" s="5">
        <v>60071077</v>
      </c>
      <c r="E208" s="5" t="s">
        <v>27</v>
      </c>
      <c r="F208" s="5"/>
      <c r="G208" s="5"/>
      <c r="H208" s="5"/>
      <c r="I208" s="6" t="s">
        <v>659</v>
      </c>
      <c r="J208" s="3" t="str">
        <f t="shared" si="3"/>
        <v>X</v>
      </c>
      <c r="K208">
        <v>30</v>
      </c>
      <c r="L208">
        <v>30</v>
      </c>
      <c r="M208" t="s">
        <v>14</v>
      </c>
      <c r="N208" t="s">
        <v>15</v>
      </c>
      <c r="O208" t="s">
        <v>21</v>
      </c>
      <c r="P208" t="s">
        <v>14</v>
      </c>
      <c r="Q208" t="s">
        <v>15</v>
      </c>
      <c r="R208" t="s">
        <v>21</v>
      </c>
      <c r="S208" t="s">
        <v>481</v>
      </c>
      <c r="T208" t="s">
        <v>29</v>
      </c>
      <c r="U208" t="s">
        <v>19</v>
      </c>
    </row>
    <row r="209" spans="1:21" x14ac:dyDescent="0.25">
      <c r="A209" s="5">
        <v>207</v>
      </c>
      <c r="B209" s="5">
        <v>261207</v>
      </c>
      <c r="C209" s="7" t="s">
        <v>482</v>
      </c>
      <c r="D209" s="5">
        <v>61431636</v>
      </c>
      <c r="E209" s="5" t="s">
        <v>80</v>
      </c>
      <c r="F209" s="5"/>
      <c r="G209" s="5"/>
      <c r="H209" s="5"/>
      <c r="I209" s="6" t="s">
        <v>658</v>
      </c>
      <c r="J209" s="3" t="str">
        <f t="shared" si="3"/>
        <v/>
      </c>
      <c r="K209">
        <v>0</v>
      </c>
      <c r="M209" t="s">
        <v>41</v>
      </c>
      <c r="N209" t="s">
        <v>42</v>
      </c>
      <c r="O209" t="s">
        <v>44</v>
      </c>
      <c r="P209" t="s">
        <v>14</v>
      </c>
      <c r="Q209" t="s">
        <v>15</v>
      </c>
      <c r="R209" t="s">
        <v>483</v>
      </c>
      <c r="S209" t="s">
        <v>484</v>
      </c>
      <c r="T209" t="s">
        <v>29</v>
      </c>
      <c r="U209" t="s">
        <v>19</v>
      </c>
    </row>
    <row r="210" spans="1:21" x14ac:dyDescent="0.25">
      <c r="A210" s="5">
        <v>208</v>
      </c>
      <c r="B210" s="5">
        <v>261208</v>
      </c>
      <c r="C210" s="7" t="s">
        <v>485</v>
      </c>
      <c r="D210" s="5">
        <v>61658978</v>
      </c>
      <c r="E210" s="5" t="s">
        <v>113</v>
      </c>
      <c r="F210" s="5"/>
      <c r="G210" s="5"/>
      <c r="H210" s="5"/>
      <c r="I210" s="6" t="s">
        <v>659</v>
      </c>
      <c r="J210" s="3" t="str">
        <f t="shared" si="3"/>
        <v/>
      </c>
      <c r="M210" t="s">
        <v>14</v>
      </c>
      <c r="N210" t="s">
        <v>15</v>
      </c>
      <c r="O210" t="s">
        <v>59</v>
      </c>
      <c r="P210" t="s">
        <v>14</v>
      </c>
      <c r="Q210" t="s">
        <v>15</v>
      </c>
      <c r="R210" t="s">
        <v>59</v>
      </c>
      <c r="S210" t="s">
        <v>486</v>
      </c>
      <c r="T210" t="s">
        <v>29</v>
      </c>
      <c r="U210" t="s">
        <v>19</v>
      </c>
    </row>
    <row r="211" spans="1:21" x14ac:dyDescent="0.25">
      <c r="A211" s="5">
        <v>209</v>
      </c>
      <c r="B211" s="5">
        <v>261209</v>
      </c>
      <c r="C211" s="7" t="s">
        <v>487</v>
      </c>
      <c r="D211" s="5">
        <v>73558337</v>
      </c>
      <c r="E211" s="5" t="s">
        <v>113</v>
      </c>
      <c r="F211" s="5"/>
      <c r="G211" s="5"/>
      <c r="H211" s="5"/>
      <c r="I211" s="6" t="s">
        <v>659</v>
      </c>
      <c r="J211" s="3" t="str">
        <f t="shared" si="3"/>
        <v/>
      </c>
      <c r="M211" t="s">
        <v>14</v>
      </c>
      <c r="N211" t="s">
        <v>52</v>
      </c>
      <c r="O211" t="s">
        <v>376</v>
      </c>
      <c r="P211" t="s">
        <v>14</v>
      </c>
      <c r="Q211" t="s">
        <v>15</v>
      </c>
      <c r="R211" t="s">
        <v>24</v>
      </c>
      <c r="S211" t="s">
        <v>488</v>
      </c>
      <c r="T211" t="s">
        <v>29</v>
      </c>
      <c r="U211" t="s">
        <v>19</v>
      </c>
    </row>
    <row r="212" spans="1:21" x14ac:dyDescent="0.25">
      <c r="A212" s="5">
        <v>210</v>
      </c>
      <c r="B212" s="5">
        <v>261210</v>
      </c>
      <c r="C212" s="7" t="s">
        <v>489</v>
      </c>
      <c r="D212" s="5">
        <v>61992217</v>
      </c>
      <c r="E212" s="5" t="s">
        <v>113</v>
      </c>
      <c r="F212" s="5"/>
      <c r="G212" s="5"/>
      <c r="H212" s="5"/>
      <c r="I212" s="6" t="s">
        <v>659</v>
      </c>
      <c r="J212" s="3" t="str">
        <f t="shared" si="3"/>
        <v/>
      </c>
      <c r="M212" t="s">
        <v>14</v>
      </c>
      <c r="N212" t="s">
        <v>15</v>
      </c>
      <c r="O212" t="s">
        <v>16</v>
      </c>
      <c r="P212" t="s">
        <v>14</v>
      </c>
      <c r="Q212" t="s">
        <v>15</v>
      </c>
      <c r="R212" t="s">
        <v>21</v>
      </c>
      <c r="S212" t="s">
        <v>490</v>
      </c>
      <c r="T212" t="s">
        <v>29</v>
      </c>
      <c r="U212" t="s">
        <v>19</v>
      </c>
    </row>
    <row r="213" spans="1:21" x14ac:dyDescent="0.25">
      <c r="A213" s="5">
        <v>211</v>
      </c>
      <c r="B213" s="5">
        <v>261211</v>
      </c>
      <c r="C213" s="7" t="s">
        <v>491</v>
      </c>
      <c r="D213" s="5">
        <v>61869477</v>
      </c>
      <c r="E213" s="5" t="s">
        <v>113</v>
      </c>
      <c r="F213" s="5"/>
      <c r="G213" s="5"/>
      <c r="H213" s="5"/>
      <c r="I213" s="6" t="s">
        <v>659</v>
      </c>
      <c r="J213" s="3" t="str">
        <f t="shared" si="3"/>
        <v/>
      </c>
      <c r="M213" t="s">
        <v>14</v>
      </c>
      <c r="N213" t="s">
        <v>15</v>
      </c>
      <c r="O213" t="s">
        <v>21</v>
      </c>
      <c r="P213" t="s">
        <v>14</v>
      </c>
      <c r="Q213" t="s">
        <v>15</v>
      </c>
      <c r="R213" t="s">
        <v>21</v>
      </c>
      <c r="S213" t="s">
        <v>492</v>
      </c>
      <c r="T213" t="s">
        <v>29</v>
      </c>
      <c r="U213" t="s">
        <v>19</v>
      </c>
    </row>
    <row r="214" spans="1:21" x14ac:dyDescent="0.25">
      <c r="A214" s="5">
        <v>212</v>
      </c>
      <c r="B214" s="5">
        <v>261212</v>
      </c>
      <c r="C214" s="7" t="s">
        <v>493</v>
      </c>
      <c r="D214" s="5">
        <v>61086077</v>
      </c>
      <c r="E214" s="5" t="s">
        <v>27</v>
      </c>
      <c r="F214" s="5"/>
      <c r="G214" s="5"/>
      <c r="H214" s="5"/>
      <c r="I214" s="6" t="s">
        <v>659</v>
      </c>
      <c r="J214" s="3" t="str">
        <f t="shared" si="3"/>
        <v>X</v>
      </c>
      <c r="K214">
        <v>30</v>
      </c>
      <c r="L214">
        <v>30</v>
      </c>
      <c r="M214" t="s">
        <v>14</v>
      </c>
      <c r="N214" t="s">
        <v>15</v>
      </c>
      <c r="O214" t="s">
        <v>16</v>
      </c>
      <c r="P214" t="s">
        <v>14</v>
      </c>
      <c r="Q214" t="s">
        <v>15</v>
      </c>
      <c r="R214" t="s">
        <v>16</v>
      </c>
      <c r="S214" t="s">
        <v>165</v>
      </c>
      <c r="T214" t="s">
        <v>29</v>
      </c>
      <c r="U214" t="s">
        <v>19</v>
      </c>
    </row>
    <row r="215" spans="1:21" x14ac:dyDescent="0.25">
      <c r="A215" s="5">
        <v>213</v>
      </c>
      <c r="B215" s="5">
        <v>261213</v>
      </c>
      <c r="C215" s="7" t="s">
        <v>494</v>
      </c>
      <c r="D215" s="5">
        <v>61487124</v>
      </c>
      <c r="E215" s="5" t="s">
        <v>113</v>
      </c>
      <c r="F215" s="5"/>
      <c r="G215" s="5"/>
      <c r="H215" s="5"/>
      <c r="I215" s="6" t="s">
        <v>659</v>
      </c>
      <c r="J215" s="3" t="str">
        <f t="shared" si="3"/>
        <v/>
      </c>
      <c r="M215" t="s">
        <v>14</v>
      </c>
      <c r="N215" t="s">
        <v>15</v>
      </c>
      <c r="O215" t="s">
        <v>21</v>
      </c>
      <c r="P215" t="s">
        <v>14</v>
      </c>
      <c r="Q215" t="s">
        <v>15</v>
      </c>
      <c r="R215" t="s">
        <v>21</v>
      </c>
      <c r="S215" t="s">
        <v>495</v>
      </c>
      <c r="T215" t="s">
        <v>29</v>
      </c>
      <c r="U215" t="s">
        <v>19</v>
      </c>
    </row>
    <row r="216" spans="1:21" x14ac:dyDescent="0.25">
      <c r="A216" s="5">
        <v>214</v>
      </c>
      <c r="B216" s="5">
        <v>261214</v>
      </c>
      <c r="C216" s="7" t="s">
        <v>496</v>
      </c>
      <c r="D216" s="5">
        <v>70740312</v>
      </c>
      <c r="E216" s="5" t="s">
        <v>113</v>
      </c>
      <c r="F216" s="5"/>
      <c r="G216" s="5"/>
      <c r="H216" s="5"/>
      <c r="I216" s="6" t="s">
        <v>658</v>
      </c>
      <c r="J216" s="3" t="str">
        <f t="shared" si="3"/>
        <v/>
      </c>
      <c r="M216" t="s">
        <v>14</v>
      </c>
      <c r="N216" t="s">
        <v>52</v>
      </c>
      <c r="O216" t="s">
        <v>497</v>
      </c>
      <c r="P216" t="s">
        <v>14</v>
      </c>
      <c r="Q216" t="s">
        <v>15</v>
      </c>
      <c r="R216" t="s">
        <v>24</v>
      </c>
      <c r="S216" t="s">
        <v>498</v>
      </c>
      <c r="T216" t="s">
        <v>18</v>
      </c>
      <c r="U216" t="s">
        <v>19</v>
      </c>
    </row>
    <row r="217" spans="1:21" x14ac:dyDescent="0.25">
      <c r="A217" s="5">
        <v>215</v>
      </c>
      <c r="B217" s="5">
        <v>261215</v>
      </c>
      <c r="C217" s="7" t="s">
        <v>499</v>
      </c>
      <c r="D217" s="5">
        <v>62528827</v>
      </c>
      <c r="E217" s="5" t="s">
        <v>113</v>
      </c>
      <c r="F217" s="5"/>
      <c r="G217" s="5"/>
      <c r="H217" s="5"/>
      <c r="I217" s="6" t="s">
        <v>659</v>
      </c>
      <c r="J217" s="3" t="str">
        <f t="shared" si="3"/>
        <v/>
      </c>
      <c r="M217" t="s">
        <v>14</v>
      </c>
      <c r="N217" t="s">
        <v>15</v>
      </c>
      <c r="O217" t="s">
        <v>21</v>
      </c>
      <c r="P217" t="s">
        <v>14</v>
      </c>
      <c r="Q217" t="s">
        <v>15</v>
      </c>
      <c r="R217" t="s">
        <v>21</v>
      </c>
      <c r="S217" t="s">
        <v>500</v>
      </c>
      <c r="T217" t="s">
        <v>29</v>
      </c>
      <c r="U217" t="s">
        <v>19</v>
      </c>
    </row>
    <row r="218" spans="1:21" x14ac:dyDescent="0.25">
      <c r="A218" s="5">
        <v>216</v>
      </c>
      <c r="B218" s="5">
        <v>261216</v>
      </c>
      <c r="C218" s="7" t="s">
        <v>501</v>
      </c>
      <c r="D218" s="5">
        <v>61376445</v>
      </c>
      <c r="E218" s="5" t="s">
        <v>13</v>
      </c>
      <c r="F218" s="5"/>
      <c r="G218" s="5"/>
      <c r="H218" s="5"/>
      <c r="I218" s="6" t="s">
        <v>659</v>
      </c>
      <c r="J218" s="3" t="str">
        <f t="shared" si="3"/>
        <v>X</v>
      </c>
      <c r="K218">
        <v>30</v>
      </c>
      <c r="L218">
        <v>30</v>
      </c>
      <c r="M218" t="s">
        <v>14</v>
      </c>
      <c r="N218" t="s">
        <v>15</v>
      </c>
      <c r="O218" t="s">
        <v>21</v>
      </c>
      <c r="P218" t="s">
        <v>14</v>
      </c>
      <c r="Q218" t="s">
        <v>15</v>
      </c>
      <c r="R218" t="s">
        <v>21</v>
      </c>
      <c r="S218" t="s">
        <v>502</v>
      </c>
      <c r="T218" t="s">
        <v>18</v>
      </c>
      <c r="U218" t="s">
        <v>19</v>
      </c>
    </row>
    <row r="219" spans="1:21" x14ac:dyDescent="0.25">
      <c r="A219" s="5">
        <v>217</v>
      </c>
      <c r="B219" s="5">
        <v>261217</v>
      </c>
      <c r="C219" s="7" t="s">
        <v>503</v>
      </c>
      <c r="D219" s="5">
        <v>77482222</v>
      </c>
      <c r="E219" s="5" t="s">
        <v>27</v>
      </c>
      <c r="F219" s="5"/>
      <c r="G219" s="5"/>
      <c r="H219" s="5"/>
      <c r="I219" s="6" t="s">
        <v>658</v>
      </c>
      <c r="J219" s="3" t="str">
        <f t="shared" si="3"/>
        <v/>
      </c>
      <c r="M219" t="s">
        <v>14</v>
      </c>
      <c r="N219" t="s">
        <v>15</v>
      </c>
      <c r="O219" t="s">
        <v>110</v>
      </c>
      <c r="P219" t="s">
        <v>14</v>
      </c>
      <c r="Q219" t="s">
        <v>15</v>
      </c>
      <c r="R219" t="s">
        <v>110</v>
      </c>
      <c r="S219" t="s">
        <v>504</v>
      </c>
      <c r="T219" t="s">
        <v>29</v>
      </c>
      <c r="U219" t="s">
        <v>19</v>
      </c>
    </row>
    <row r="220" spans="1:21" x14ac:dyDescent="0.25">
      <c r="A220" s="5">
        <v>218</v>
      </c>
      <c r="B220" s="5">
        <v>261218</v>
      </c>
      <c r="C220" s="7" t="s">
        <v>505</v>
      </c>
      <c r="D220" s="5">
        <v>62529060</v>
      </c>
      <c r="E220" s="5" t="s">
        <v>113</v>
      </c>
      <c r="F220" s="5"/>
      <c r="G220" s="5"/>
      <c r="H220" s="5"/>
      <c r="I220" s="6" t="s">
        <v>659</v>
      </c>
      <c r="J220" s="3" t="str">
        <f t="shared" si="3"/>
        <v/>
      </c>
      <c r="M220" t="s">
        <v>14</v>
      </c>
      <c r="N220" t="s">
        <v>15</v>
      </c>
      <c r="O220" t="s">
        <v>16</v>
      </c>
      <c r="P220" t="s">
        <v>14</v>
      </c>
      <c r="Q220" t="s">
        <v>15</v>
      </c>
      <c r="R220" t="s">
        <v>21</v>
      </c>
      <c r="S220" t="s">
        <v>506</v>
      </c>
      <c r="T220" t="s">
        <v>29</v>
      </c>
      <c r="U220" t="s">
        <v>19</v>
      </c>
    </row>
    <row r="221" spans="1:21" x14ac:dyDescent="0.25">
      <c r="A221" s="5">
        <v>219</v>
      </c>
      <c r="B221" s="5">
        <v>261219</v>
      </c>
      <c r="C221" s="7" t="s">
        <v>507</v>
      </c>
      <c r="D221" s="5">
        <v>76626520</v>
      </c>
      <c r="E221" s="5" t="s">
        <v>27</v>
      </c>
      <c r="F221" s="5"/>
      <c r="G221" s="5"/>
      <c r="H221" s="5"/>
      <c r="I221" s="6" t="s">
        <v>659</v>
      </c>
      <c r="J221" s="3" t="str">
        <f t="shared" si="3"/>
        <v>X</v>
      </c>
      <c r="K221">
        <v>30</v>
      </c>
      <c r="L221">
        <v>30</v>
      </c>
      <c r="M221" t="s">
        <v>14</v>
      </c>
      <c r="N221" t="s">
        <v>15</v>
      </c>
      <c r="O221" t="s">
        <v>16</v>
      </c>
      <c r="P221" t="s">
        <v>14</v>
      </c>
      <c r="Q221" t="s">
        <v>15</v>
      </c>
      <c r="R221" t="s">
        <v>21</v>
      </c>
      <c r="S221" t="s">
        <v>508</v>
      </c>
      <c r="T221" t="s">
        <v>29</v>
      </c>
      <c r="U221" t="s">
        <v>46</v>
      </c>
    </row>
    <row r="222" spans="1:21" x14ac:dyDescent="0.25">
      <c r="A222" s="5">
        <v>220</v>
      </c>
      <c r="B222" s="5">
        <v>261220</v>
      </c>
      <c r="C222" s="7" t="s">
        <v>509</v>
      </c>
      <c r="D222" s="5">
        <v>61389743</v>
      </c>
      <c r="E222" s="5" t="s">
        <v>37</v>
      </c>
      <c r="F222" s="5"/>
      <c r="G222" s="5"/>
      <c r="H222" s="5"/>
      <c r="I222" s="6" t="s">
        <v>659</v>
      </c>
      <c r="J222" s="3" t="str">
        <f t="shared" si="3"/>
        <v>X</v>
      </c>
      <c r="K222">
        <v>30</v>
      </c>
      <c r="L222">
        <v>30</v>
      </c>
      <c r="M222" t="s">
        <v>14</v>
      </c>
      <c r="N222" t="s">
        <v>15</v>
      </c>
      <c r="O222" t="s">
        <v>16</v>
      </c>
      <c r="P222" t="s">
        <v>14</v>
      </c>
      <c r="Q222" t="s">
        <v>15</v>
      </c>
      <c r="R222" t="s">
        <v>96</v>
      </c>
      <c r="S222" t="s">
        <v>510</v>
      </c>
      <c r="T222" t="s">
        <v>18</v>
      </c>
      <c r="U222" t="s">
        <v>19</v>
      </c>
    </row>
    <row r="223" spans="1:21" x14ac:dyDescent="0.25">
      <c r="A223" s="5">
        <v>221</v>
      </c>
      <c r="B223" s="5">
        <v>261221</v>
      </c>
      <c r="C223" s="7" t="s">
        <v>511</v>
      </c>
      <c r="D223" s="5">
        <v>61517695</v>
      </c>
      <c r="E223" s="5" t="s">
        <v>113</v>
      </c>
      <c r="F223" s="5"/>
      <c r="G223" s="5"/>
      <c r="H223" s="5"/>
      <c r="I223" s="6" t="s">
        <v>659</v>
      </c>
      <c r="J223" s="3" t="str">
        <f t="shared" si="3"/>
        <v/>
      </c>
      <c r="M223" t="s">
        <v>447</v>
      </c>
      <c r="N223" t="s">
        <v>448</v>
      </c>
      <c r="O223" t="s">
        <v>512</v>
      </c>
      <c r="P223" t="s">
        <v>14</v>
      </c>
      <c r="Q223" t="s">
        <v>15</v>
      </c>
      <c r="R223" t="s">
        <v>21</v>
      </c>
      <c r="S223" t="s">
        <v>513</v>
      </c>
      <c r="T223" t="s">
        <v>29</v>
      </c>
      <c r="U223" t="s">
        <v>19</v>
      </c>
    </row>
    <row r="224" spans="1:21" x14ac:dyDescent="0.25">
      <c r="A224" s="5">
        <v>222</v>
      </c>
      <c r="B224" s="5">
        <v>261222</v>
      </c>
      <c r="C224" s="7" t="s">
        <v>514</v>
      </c>
      <c r="D224" s="5">
        <v>61443334</v>
      </c>
      <c r="E224" s="5" t="s">
        <v>27</v>
      </c>
      <c r="F224" s="5"/>
      <c r="G224" s="5"/>
      <c r="H224" s="5"/>
      <c r="I224" s="6" t="s">
        <v>659</v>
      </c>
      <c r="J224" s="3" t="str">
        <f t="shared" si="3"/>
        <v>X</v>
      </c>
      <c r="K224">
        <v>30</v>
      </c>
      <c r="L224">
        <v>30</v>
      </c>
      <c r="M224" t="s">
        <v>14</v>
      </c>
      <c r="N224" t="s">
        <v>15</v>
      </c>
      <c r="O224" t="s">
        <v>16</v>
      </c>
      <c r="P224" t="s">
        <v>14</v>
      </c>
      <c r="Q224" t="s">
        <v>15</v>
      </c>
      <c r="R224" t="s">
        <v>16</v>
      </c>
      <c r="S224" t="s">
        <v>515</v>
      </c>
      <c r="T224" t="s">
        <v>18</v>
      </c>
      <c r="U224" t="s">
        <v>19</v>
      </c>
    </row>
    <row r="225" spans="1:21" x14ac:dyDescent="0.25">
      <c r="A225" s="5">
        <v>223</v>
      </c>
      <c r="B225" s="5">
        <v>261223</v>
      </c>
      <c r="C225" s="7" t="s">
        <v>516</v>
      </c>
      <c r="D225" s="5">
        <v>71676723</v>
      </c>
      <c r="E225" s="5" t="s">
        <v>27</v>
      </c>
      <c r="F225" s="5"/>
      <c r="G225" s="5"/>
      <c r="H225" s="5"/>
      <c r="I225" s="6" t="s">
        <v>659</v>
      </c>
      <c r="J225" s="3" t="str">
        <f t="shared" si="3"/>
        <v>X</v>
      </c>
      <c r="K225">
        <v>30</v>
      </c>
      <c r="L225">
        <v>30</v>
      </c>
      <c r="M225" t="s">
        <v>14</v>
      </c>
      <c r="N225" t="s">
        <v>52</v>
      </c>
      <c r="O225" t="s">
        <v>517</v>
      </c>
      <c r="P225" t="s">
        <v>14</v>
      </c>
      <c r="Q225" t="s">
        <v>15</v>
      </c>
      <c r="R225" t="s">
        <v>59</v>
      </c>
      <c r="S225" t="s">
        <v>111</v>
      </c>
      <c r="T225" t="s">
        <v>29</v>
      </c>
      <c r="U225" t="s">
        <v>19</v>
      </c>
    </row>
    <row r="226" spans="1:21" x14ac:dyDescent="0.25">
      <c r="A226" s="5">
        <v>224</v>
      </c>
      <c r="B226" s="5">
        <v>261224</v>
      </c>
      <c r="C226" s="7" t="s">
        <v>518</v>
      </c>
      <c r="D226" s="5">
        <v>61514297</v>
      </c>
      <c r="E226" s="5" t="s">
        <v>80</v>
      </c>
      <c r="F226" s="5"/>
      <c r="G226" s="5"/>
      <c r="H226" s="5"/>
      <c r="I226" s="6" t="s">
        <v>659</v>
      </c>
      <c r="J226" s="3" t="str">
        <f t="shared" si="3"/>
        <v>X</v>
      </c>
      <c r="K226">
        <v>30</v>
      </c>
      <c r="L226">
        <v>30</v>
      </c>
      <c r="M226" t="s">
        <v>14</v>
      </c>
      <c r="N226" t="s">
        <v>15</v>
      </c>
      <c r="O226" t="s">
        <v>21</v>
      </c>
      <c r="P226" t="s">
        <v>14</v>
      </c>
      <c r="Q226" t="s">
        <v>15</v>
      </c>
      <c r="R226" t="s">
        <v>21</v>
      </c>
      <c r="S226" t="s">
        <v>519</v>
      </c>
      <c r="T226" t="s">
        <v>29</v>
      </c>
      <c r="U226" t="s">
        <v>19</v>
      </c>
    </row>
    <row r="227" spans="1:21" x14ac:dyDescent="0.25">
      <c r="A227" s="5">
        <v>225</v>
      </c>
      <c r="B227" s="5">
        <v>261225</v>
      </c>
      <c r="C227" s="7" t="s">
        <v>520</v>
      </c>
      <c r="D227" s="5">
        <v>62051669</v>
      </c>
      <c r="E227" s="5" t="s">
        <v>80</v>
      </c>
      <c r="F227" s="5"/>
      <c r="G227" s="5"/>
      <c r="H227" s="5"/>
      <c r="I227" s="6" t="s">
        <v>659</v>
      </c>
      <c r="J227" s="3" t="str">
        <f t="shared" si="3"/>
        <v>X</v>
      </c>
      <c r="K227">
        <v>30</v>
      </c>
      <c r="L227">
        <v>30</v>
      </c>
      <c r="M227" t="s">
        <v>14</v>
      </c>
      <c r="N227" t="s">
        <v>15</v>
      </c>
      <c r="O227" t="s">
        <v>16</v>
      </c>
      <c r="P227" t="s">
        <v>14</v>
      </c>
      <c r="Q227" t="s">
        <v>15</v>
      </c>
      <c r="R227" t="s">
        <v>16</v>
      </c>
      <c r="S227" t="s">
        <v>521</v>
      </c>
      <c r="T227" t="s">
        <v>18</v>
      </c>
      <c r="U227" t="s">
        <v>19</v>
      </c>
    </row>
    <row r="228" spans="1:21" x14ac:dyDescent="0.25">
      <c r="A228" s="5">
        <v>226</v>
      </c>
      <c r="B228" s="5">
        <v>261226</v>
      </c>
      <c r="C228" s="7" t="s">
        <v>522</v>
      </c>
      <c r="D228" s="5">
        <v>76119521</v>
      </c>
      <c r="E228" s="5" t="s">
        <v>37</v>
      </c>
      <c r="F228" s="5"/>
      <c r="G228" s="5"/>
      <c r="H228" s="5"/>
      <c r="I228" s="6" t="s">
        <v>659</v>
      </c>
      <c r="J228" s="3" t="str">
        <f t="shared" si="3"/>
        <v>X</v>
      </c>
      <c r="K228">
        <v>30</v>
      </c>
      <c r="L228">
        <v>30</v>
      </c>
      <c r="M228" t="s">
        <v>14</v>
      </c>
      <c r="N228" t="s">
        <v>15</v>
      </c>
      <c r="O228" t="s">
        <v>16</v>
      </c>
      <c r="P228" t="s">
        <v>14</v>
      </c>
      <c r="Q228" t="s">
        <v>15</v>
      </c>
      <c r="R228" t="s">
        <v>16</v>
      </c>
      <c r="S228" t="s">
        <v>523</v>
      </c>
      <c r="T228" t="s">
        <v>29</v>
      </c>
      <c r="U228" t="s">
        <v>19</v>
      </c>
    </row>
    <row r="229" spans="1:21" x14ac:dyDescent="0.25">
      <c r="A229" s="5">
        <v>227</v>
      </c>
      <c r="B229" s="5">
        <v>261227</v>
      </c>
      <c r="C229" s="7" t="s">
        <v>524</v>
      </c>
      <c r="D229" s="5">
        <v>62588800</v>
      </c>
      <c r="E229" s="5" t="s">
        <v>113</v>
      </c>
      <c r="F229" s="5"/>
      <c r="G229" s="5"/>
      <c r="H229" s="5"/>
      <c r="I229" s="6" t="s">
        <v>659</v>
      </c>
      <c r="J229" s="3" t="str">
        <f t="shared" si="3"/>
        <v/>
      </c>
      <c r="M229" t="s">
        <v>14</v>
      </c>
      <c r="N229" t="s">
        <v>15</v>
      </c>
      <c r="O229" t="s">
        <v>21</v>
      </c>
      <c r="P229" t="s">
        <v>14</v>
      </c>
      <c r="Q229" t="s">
        <v>15</v>
      </c>
      <c r="R229" t="s">
        <v>21</v>
      </c>
      <c r="S229" t="s">
        <v>525</v>
      </c>
      <c r="T229" t="s">
        <v>29</v>
      </c>
      <c r="U229" t="s">
        <v>19</v>
      </c>
    </row>
    <row r="230" spans="1:21" x14ac:dyDescent="0.25">
      <c r="A230" s="5">
        <v>228</v>
      </c>
      <c r="B230" s="5">
        <v>261228</v>
      </c>
      <c r="C230" s="7" t="s">
        <v>526</v>
      </c>
      <c r="D230" s="5">
        <v>62528828</v>
      </c>
      <c r="E230" s="5" t="s">
        <v>113</v>
      </c>
      <c r="F230" s="5"/>
      <c r="G230" s="5"/>
      <c r="H230" s="5"/>
      <c r="I230" s="6" t="s">
        <v>659</v>
      </c>
      <c r="J230" s="3" t="str">
        <f t="shared" si="3"/>
        <v/>
      </c>
      <c r="M230" t="s">
        <v>14</v>
      </c>
      <c r="N230" t="s">
        <v>15</v>
      </c>
      <c r="O230" t="s">
        <v>21</v>
      </c>
      <c r="P230" t="s">
        <v>14</v>
      </c>
      <c r="Q230" t="s">
        <v>15</v>
      </c>
      <c r="R230" t="s">
        <v>21</v>
      </c>
      <c r="S230" t="s">
        <v>500</v>
      </c>
      <c r="T230" t="s">
        <v>29</v>
      </c>
      <c r="U230" t="s">
        <v>19</v>
      </c>
    </row>
    <row r="231" spans="1:21" x14ac:dyDescent="0.25">
      <c r="A231" s="5">
        <v>229</v>
      </c>
      <c r="B231" s="5">
        <v>261229</v>
      </c>
      <c r="C231" s="7" t="s">
        <v>527</v>
      </c>
      <c r="D231" s="5">
        <v>75865850</v>
      </c>
      <c r="E231" s="5" t="s">
        <v>113</v>
      </c>
      <c r="F231" s="5"/>
      <c r="G231" s="5"/>
      <c r="H231" s="5"/>
      <c r="I231" s="6" t="s">
        <v>659</v>
      </c>
      <c r="J231" s="3" t="str">
        <f t="shared" si="3"/>
        <v/>
      </c>
      <c r="M231" t="s">
        <v>14</v>
      </c>
      <c r="N231" t="s">
        <v>31</v>
      </c>
      <c r="O231" t="s">
        <v>528</v>
      </c>
      <c r="P231" t="s">
        <v>14</v>
      </c>
      <c r="Q231" t="s">
        <v>15</v>
      </c>
      <c r="R231" t="s">
        <v>21</v>
      </c>
      <c r="S231" t="s">
        <v>529</v>
      </c>
      <c r="T231" t="s">
        <v>29</v>
      </c>
      <c r="U231" t="s">
        <v>19</v>
      </c>
    </row>
    <row r="232" spans="1:21" x14ac:dyDescent="0.25">
      <c r="A232" s="5">
        <v>230</v>
      </c>
      <c r="B232" s="5">
        <v>261230</v>
      </c>
      <c r="C232" s="7" t="s">
        <v>530</v>
      </c>
      <c r="D232" s="5">
        <v>60064968</v>
      </c>
      <c r="E232" s="5" t="s">
        <v>113</v>
      </c>
      <c r="F232" s="5"/>
      <c r="G232" s="5"/>
      <c r="H232" s="5"/>
      <c r="I232" s="6" t="s">
        <v>659</v>
      </c>
      <c r="J232" s="3" t="str">
        <f t="shared" si="3"/>
        <v/>
      </c>
      <c r="M232" t="s">
        <v>531</v>
      </c>
      <c r="N232" t="s">
        <v>532</v>
      </c>
      <c r="O232" t="s">
        <v>531</v>
      </c>
      <c r="P232" t="s">
        <v>14</v>
      </c>
      <c r="Q232" t="s">
        <v>15</v>
      </c>
      <c r="R232" t="s">
        <v>21</v>
      </c>
      <c r="S232" t="s">
        <v>533</v>
      </c>
      <c r="T232" t="s">
        <v>29</v>
      </c>
      <c r="U232" t="s">
        <v>19</v>
      </c>
    </row>
    <row r="233" spans="1:21" x14ac:dyDescent="0.25">
      <c r="A233" s="5">
        <v>231</v>
      </c>
      <c r="B233" s="5">
        <v>261231</v>
      </c>
      <c r="C233" s="7" t="s">
        <v>534</v>
      </c>
      <c r="D233" s="5">
        <v>62576621</v>
      </c>
      <c r="E233" s="5" t="s">
        <v>113</v>
      </c>
      <c r="F233" s="5"/>
      <c r="G233" s="5"/>
      <c r="H233" s="5"/>
      <c r="I233" s="6" t="s">
        <v>659</v>
      </c>
      <c r="J233" s="3" t="str">
        <f t="shared" si="3"/>
        <v/>
      </c>
      <c r="M233" t="s">
        <v>14</v>
      </c>
      <c r="N233" t="s">
        <v>15</v>
      </c>
      <c r="O233" t="s">
        <v>16</v>
      </c>
      <c r="P233" t="s">
        <v>14</v>
      </c>
      <c r="Q233" t="s">
        <v>15</v>
      </c>
      <c r="R233" t="s">
        <v>16</v>
      </c>
      <c r="S233" t="s">
        <v>535</v>
      </c>
      <c r="T233" t="s">
        <v>29</v>
      </c>
      <c r="U233" t="s">
        <v>19</v>
      </c>
    </row>
    <row r="234" spans="1:21" x14ac:dyDescent="0.25">
      <c r="A234" s="5">
        <v>232</v>
      </c>
      <c r="B234" s="5">
        <v>261232</v>
      </c>
      <c r="C234" s="7" t="s">
        <v>536</v>
      </c>
      <c r="D234" s="5">
        <v>61443398</v>
      </c>
      <c r="E234" s="5" t="s">
        <v>80</v>
      </c>
      <c r="F234" s="5"/>
      <c r="G234" s="5"/>
      <c r="H234" s="5"/>
      <c r="I234" s="6" t="s">
        <v>659</v>
      </c>
      <c r="J234" s="3" t="str">
        <f t="shared" si="3"/>
        <v>X</v>
      </c>
      <c r="K234">
        <v>30</v>
      </c>
      <c r="L234">
        <v>30</v>
      </c>
      <c r="M234" t="s">
        <v>14</v>
      </c>
      <c r="N234" t="s">
        <v>15</v>
      </c>
      <c r="O234" t="s">
        <v>16</v>
      </c>
      <c r="P234" t="s">
        <v>14</v>
      </c>
      <c r="Q234" t="s">
        <v>15</v>
      </c>
      <c r="R234" t="s">
        <v>16</v>
      </c>
      <c r="S234" t="s">
        <v>537</v>
      </c>
      <c r="T234" t="s">
        <v>29</v>
      </c>
      <c r="U234" t="s">
        <v>46</v>
      </c>
    </row>
    <row r="235" spans="1:21" x14ac:dyDescent="0.25">
      <c r="A235" s="5">
        <v>233</v>
      </c>
      <c r="B235" s="5">
        <v>261233</v>
      </c>
      <c r="C235" s="7" t="s">
        <v>538</v>
      </c>
      <c r="D235" s="5">
        <v>62463766</v>
      </c>
      <c r="E235" s="5" t="s">
        <v>113</v>
      </c>
      <c r="F235" s="5"/>
      <c r="G235" s="5"/>
      <c r="H235" s="5"/>
      <c r="I235" s="6" t="s">
        <v>659</v>
      </c>
      <c r="J235" s="3" t="str">
        <f t="shared" si="3"/>
        <v/>
      </c>
      <c r="M235" t="s">
        <v>14</v>
      </c>
      <c r="N235" t="s">
        <v>15</v>
      </c>
      <c r="O235" t="s">
        <v>21</v>
      </c>
      <c r="P235" t="s">
        <v>14</v>
      </c>
      <c r="Q235" t="s">
        <v>15</v>
      </c>
      <c r="R235" t="s">
        <v>21</v>
      </c>
      <c r="S235" t="s">
        <v>539</v>
      </c>
      <c r="T235" t="s">
        <v>29</v>
      </c>
      <c r="U235" t="s">
        <v>19</v>
      </c>
    </row>
    <row r="236" spans="1:21" x14ac:dyDescent="0.25">
      <c r="A236" s="5">
        <v>234</v>
      </c>
      <c r="B236" s="5">
        <v>261234</v>
      </c>
      <c r="C236" s="7" t="s">
        <v>540</v>
      </c>
      <c r="D236" s="5">
        <v>61086102</v>
      </c>
      <c r="E236" s="5" t="s">
        <v>27</v>
      </c>
      <c r="F236" s="5"/>
      <c r="G236" s="5"/>
      <c r="H236" s="5"/>
      <c r="I236" s="6" t="s">
        <v>659</v>
      </c>
      <c r="J236" s="3" t="str">
        <f t="shared" si="3"/>
        <v>X</v>
      </c>
      <c r="K236">
        <v>30</v>
      </c>
      <c r="L236">
        <v>30</v>
      </c>
      <c r="M236" t="s">
        <v>14</v>
      </c>
      <c r="N236" t="s">
        <v>15</v>
      </c>
      <c r="O236" t="s">
        <v>16</v>
      </c>
      <c r="P236" t="s">
        <v>14</v>
      </c>
      <c r="Q236" t="s">
        <v>15</v>
      </c>
      <c r="R236" t="s">
        <v>21</v>
      </c>
      <c r="S236" t="s">
        <v>357</v>
      </c>
      <c r="T236" t="s">
        <v>29</v>
      </c>
      <c r="U236" t="s">
        <v>19</v>
      </c>
    </row>
    <row r="237" spans="1:21" x14ac:dyDescent="0.25">
      <c r="A237" s="5">
        <v>235</v>
      </c>
      <c r="B237" s="5">
        <v>261235</v>
      </c>
      <c r="C237" s="7" t="s">
        <v>541</v>
      </c>
      <c r="D237" s="5">
        <v>61526074</v>
      </c>
      <c r="E237" s="5" t="s">
        <v>71</v>
      </c>
      <c r="F237" s="5"/>
      <c r="G237" s="5"/>
      <c r="H237" s="5"/>
      <c r="I237" s="6" t="s">
        <v>659</v>
      </c>
      <c r="J237" s="3" t="str">
        <f t="shared" si="3"/>
        <v>X</v>
      </c>
      <c r="K237">
        <v>30</v>
      </c>
      <c r="L237">
        <v>30</v>
      </c>
      <c r="M237" t="s">
        <v>14</v>
      </c>
      <c r="N237" t="s">
        <v>15</v>
      </c>
      <c r="O237" t="s">
        <v>16</v>
      </c>
      <c r="P237" t="s">
        <v>14</v>
      </c>
      <c r="Q237" t="s">
        <v>15</v>
      </c>
      <c r="R237" t="s">
        <v>59</v>
      </c>
      <c r="S237" t="s">
        <v>542</v>
      </c>
      <c r="T237" t="s">
        <v>29</v>
      </c>
      <c r="U237" t="s">
        <v>19</v>
      </c>
    </row>
    <row r="238" spans="1:21" x14ac:dyDescent="0.25">
      <c r="A238" s="5">
        <v>236</v>
      </c>
      <c r="B238" s="5">
        <v>261236</v>
      </c>
      <c r="C238" s="7" t="s">
        <v>543</v>
      </c>
      <c r="D238" s="5">
        <v>61086032</v>
      </c>
      <c r="E238" s="5" t="s">
        <v>37</v>
      </c>
      <c r="F238" s="5"/>
      <c r="G238" s="5"/>
      <c r="H238" s="5"/>
      <c r="I238" s="6" t="s">
        <v>659</v>
      </c>
      <c r="J238" s="3" t="str">
        <f t="shared" si="3"/>
        <v>X</v>
      </c>
      <c r="K238">
        <v>30</v>
      </c>
      <c r="L238">
        <v>30</v>
      </c>
      <c r="M238" t="s">
        <v>14</v>
      </c>
      <c r="N238" t="s">
        <v>15</v>
      </c>
      <c r="O238" t="s">
        <v>16</v>
      </c>
      <c r="P238" t="s">
        <v>14</v>
      </c>
      <c r="Q238" t="s">
        <v>15</v>
      </c>
      <c r="R238" t="s">
        <v>16</v>
      </c>
      <c r="S238" t="s">
        <v>544</v>
      </c>
      <c r="T238" t="s">
        <v>29</v>
      </c>
      <c r="U238" t="s">
        <v>19</v>
      </c>
    </row>
    <row r="239" spans="1:21" x14ac:dyDescent="0.25">
      <c r="A239" s="5">
        <v>237</v>
      </c>
      <c r="B239" s="5">
        <v>261237</v>
      </c>
      <c r="C239" s="7" t="s">
        <v>545</v>
      </c>
      <c r="D239" s="5">
        <v>61507560</v>
      </c>
      <c r="E239" s="5" t="s">
        <v>80</v>
      </c>
      <c r="F239" s="5"/>
      <c r="G239" s="5"/>
      <c r="H239" s="5"/>
      <c r="I239" s="6" t="s">
        <v>659</v>
      </c>
      <c r="J239" s="3" t="str">
        <f t="shared" si="3"/>
        <v>X</v>
      </c>
      <c r="K239">
        <v>30</v>
      </c>
      <c r="L239">
        <v>30</v>
      </c>
      <c r="M239" t="s">
        <v>14</v>
      </c>
      <c r="N239" t="s">
        <v>15</v>
      </c>
      <c r="O239" t="s">
        <v>59</v>
      </c>
      <c r="P239" t="s">
        <v>14</v>
      </c>
      <c r="Q239" t="s">
        <v>15</v>
      </c>
      <c r="R239" t="s">
        <v>59</v>
      </c>
      <c r="S239" t="s">
        <v>546</v>
      </c>
      <c r="T239" t="s">
        <v>29</v>
      </c>
      <c r="U239" t="s">
        <v>19</v>
      </c>
    </row>
    <row r="240" spans="1:21" x14ac:dyDescent="0.25">
      <c r="A240" s="5">
        <v>238</v>
      </c>
      <c r="B240" s="5">
        <v>261238</v>
      </c>
      <c r="C240" s="7" t="s">
        <v>547</v>
      </c>
      <c r="D240" s="5">
        <v>62877364</v>
      </c>
      <c r="E240" s="5" t="s">
        <v>71</v>
      </c>
      <c r="F240" s="5"/>
      <c r="G240" s="5"/>
      <c r="H240" s="5"/>
      <c r="I240" s="6" t="s">
        <v>658</v>
      </c>
      <c r="J240" s="3" t="str">
        <f t="shared" si="3"/>
        <v/>
      </c>
      <c r="M240" t="s">
        <v>14</v>
      </c>
      <c r="N240" t="s">
        <v>15</v>
      </c>
      <c r="O240" t="s">
        <v>21</v>
      </c>
      <c r="P240" t="s">
        <v>14</v>
      </c>
      <c r="Q240" t="s">
        <v>15</v>
      </c>
      <c r="R240" t="s">
        <v>21</v>
      </c>
      <c r="S240" t="s">
        <v>548</v>
      </c>
      <c r="T240" t="s">
        <v>18</v>
      </c>
      <c r="U240" t="s">
        <v>19</v>
      </c>
    </row>
    <row r="241" spans="1:21" x14ac:dyDescent="0.25">
      <c r="A241" s="5">
        <v>239</v>
      </c>
      <c r="B241" s="5">
        <v>261239</v>
      </c>
      <c r="C241" s="7" t="s">
        <v>549</v>
      </c>
      <c r="D241" s="5">
        <v>62052027</v>
      </c>
      <c r="E241" s="5" t="s">
        <v>37</v>
      </c>
      <c r="F241" s="5"/>
      <c r="G241" s="5"/>
      <c r="H241" s="5"/>
      <c r="I241" s="6" t="s">
        <v>658</v>
      </c>
      <c r="J241" s="3" t="str">
        <f t="shared" si="3"/>
        <v/>
      </c>
      <c r="M241" t="s">
        <v>14</v>
      </c>
      <c r="N241" t="s">
        <v>15</v>
      </c>
      <c r="O241" t="s">
        <v>16</v>
      </c>
      <c r="P241" t="s">
        <v>14</v>
      </c>
      <c r="Q241" t="s">
        <v>15</v>
      </c>
      <c r="R241" t="s">
        <v>24</v>
      </c>
      <c r="S241" t="s">
        <v>132</v>
      </c>
      <c r="T241" t="s">
        <v>18</v>
      </c>
      <c r="U241" t="s">
        <v>19</v>
      </c>
    </row>
    <row r="242" spans="1:21" x14ac:dyDescent="0.25">
      <c r="A242" s="5">
        <v>240</v>
      </c>
      <c r="B242" s="5">
        <v>261240</v>
      </c>
      <c r="C242" s="7" t="s">
        <v>550</v>
      </c>
      <c r="D242" s="5">
        <v>61525877</v>
      </c>
      <c r="E242" s="5" t="s">
        <v>80</v>
      </c>
      <c r="F242" s="5"/>
      <c r="G242" s="5"/>
      <c r="H242" s="5"/>
      <c r="I242" s="6" t="s">
        <v>659</v>
      </c>
      <c r="J242" s="3" t="str">
        <f t="shared" si="3"/>
        <v>X</v>
      </c>
      <c r="K242">
        <v>30</v>
      </c>
      <c r="L242">
        <v>30</v>
      </c>
      <c r="M242" t="s">
        <v>14</v>
      </c>
      <c r="N242" t="s">
        <v>15</v>
      </c>
      <c r="O242" t="s">
        <v>16</v>
      </c>
      <c r="P242" t="s">
        <v>14</v>
      </c>
      <c r="Q242" t="s">
        <v>15</v>
      </c>
      <c r="R242" t="s">
        <v>16</v>
      </c>
      <c r="S242" t="s">
        <v>81</v>
      </c>
      <c r="T242" t="s">
        <v>18</v>
      </c>
      <c r="U242" t="s">
        <v>19</v>
      </c>
    </row>
    <row r="243" spans="1:21" x14ac:dyDescent="0.25">
      <c r="A243" s="5">
        <v>241</v>
      </c>
      <c r="B243" s="5">
        <v>261241</v>
      </c>
      <c r="C243" s="7" t="s">
        <v>551</v>
      </c>
      <c r="D243" s="5">
        <v>60822287</v>
      </c>
      <c r="E243" s="5" t="s">
        <v>71</v>
      </c>
      <c r="F243" s="5"/>
      <c r="G243" s="5"/>
      <c r="H243" s="5"/>
      <c r="I243" s="6" t="s">
        <v>659</v>
      </c>
      <c r="J243" s="3" t="str">
        <f t="shared" si="3"/>
        <v>X</v>
      </c>
      <c r="K243">
        <v>30</v>
      </c>
      <c r="L243">
        <v>30</v>
      </c>
      <c r="M243" t="s">
        <v>14</v>
      </c>
      <c r="N243" t="s">
        <v>15</v>
      </c>
      <c r="O243" t="s">
        <v>21</v>
      </c>
      <c r="P243" t="s">
        <v>14</v>
      </c>
      <c r="Q243" t="s">
        <v>15</v>
      </c>
      <c r="R243" t="s">
        <v>96</v>
      </c>
      <c r="S243" t="s">
        <v>552</v>
      </c>
      <c r="T243" t="s">
        <v>29</v>
      </c>
      <c r="U243" t="s">
        <v>19</v>
      </c>
    </row>
    <row r="244" spans="1:21" x14ac:dyDescent="0.25">
      <c r="A244" s="5">
        <v>242</v>
      </c>
      <c r="B244" s="5">
        <v>261242</v>
      </c>
      <c r="C244" s="7" t="s">
        <v>553</v>
      </c>
      <c r="D244" s="5">
        <v>61858023</v>
      </c>
      <c r="E244" s="5" t="s">
        <v>13</v>
      </c>
      <c r="F244" s="5"/>
      <c r="G244" s="5"/>
      <c r="H244" s="5"/>
      <c r="I244" s="6" t="s">
        <v>658</v>
      </c>
      <c r="J244" s="3" t="str">
        <f t="shared" si="3"/>
        <v/>
      </c>
      <c r="M244" t="s">
        <v>14</v>
      </c>
      <c r="N244" t="s">
        <v>15</v>
      </c>
      <c r="O244" t="s">
        <v>21</v>
      </c>
      <c r="P244" t="s">
        <v>14</v>
      </c>
      <c r="Q244" t="s">
        <v>15</v>
      </c>
      <c r="R244" t="s">
        <v>21</v>
      </c>
      <c r="S244" t="s">
        <v>218</v>
      </c>
      <c r="T244" t="s">
        <v>29</v>
      </c>
      <c r="U244" t="s">
        <v>46</v>
      </c>
    </row>
    <row r="245" spans="1:21" x14ac:dyDescent="0.25">
      <c r="A245" s="5">
        <v>243</v>
      </c>
      <c r="B245" s="5">
        <v>261243</v>
      </c>
      <c r="C245" s="7" t="s">
        <v>554</v>
      </c>
      <c r="D245" s="5">
        <v>74953617</v>
      </c>
      <c r="E245" s="5" t="s">
        <v>113</v>
      </c>
      <c r="F245" s="5"/>
      <c r="G245" s="5"/>
      <c r="H245" s="5"/>
      <c r="I245" s="6" t="s">
        <v>659</v>
      </c>
      <c r="J245" s="3" t="str">
        <f t="shared" si="3"/>
        <v>X</v>
      </c>
      <c r="K245">
        <v>30</v>
      </c>
      <c r="L245">
        <v>30</v>
      </c>
      <c r="M245" t="s">
        <v>14</v>
      </c>
      <c r="N245" t="s">
        <v>15</v>
      </c>
      <c r="O245" t="s">
        <v>16</v>
      </c>
      <c r="P245" t="s">
        <v>14</v>
      </c>
      <c r="Q245" t="s">
        <v>15</v>
      </c>
      <c r="R245" t="s">
        <v>16</v>
      </c>
      <c r="S245" t="s">
        <v>555</v>
      </c>
      <c r="T245" t="s">
        <v>18</v>
      </c>
      <c r="U245" t="s">
        <v>19</v>
      </c>
    </row>
    <row r="246" spans="1:21" x14ac:dyDescent="0.25">
      <c r="A246" s="5">
        <v>244</v>
      </c>
      <c r="B246" s="5">
        <v>261244</v>
      </c>
      <c r="C246" s="7" t="s">
        <v>556</v>
      </c>
      <c r="D246" s="5">
        <v>72348899</v>
      </c>
      <c r="E246" s="5" t="s">
        <v>113</v>
      </c>
      <c r="F246" s="5"/>
      <c r="G246" s="5"/>
      <c r="H246" s="5"/>
      <c r="I246" s="6" t="s">
        <v>659</v>
      </c>
      <c r="J246" s="3" t="str">
        <f t="shared" si="3"/>
        <v/>
      </c>
      <c r="M246" t="s">
        <v>405</v>
      </c>
      <c r="N246" t="s">
        <v>406</v>
      </c>
      <c r="O246" t="s">
        <v>557</v>
      </c>
      <c r="P246" t="s">
        <v>14</v>
      </c>
      <c r="Q246" t="s">
        <v>15</v>
      </c>
      <c r="R246" t="s">
        <v>21</v>
      </c>
      <c r="S246" t="s">
        <v>558</v>
      </c>
      <c r="T246" t="s">
        <v>29</v>
      </c>
      <c r="U246" t="s">
        <v>19</v>
      </c>
    </row>
    <row r="247" spans="1:21" x14ac:dyDescent="0.25">
      <c r="A247" s="5">
        <v>245</v>
      </c>
      <c r="B247" s="5">
        <v>261245</v>
      </c>
      <c r="C247" s="7" t="s">
        <v>559</v>
      </c>
      <c r="D247" s="5">
        <v>60344900</v>
      </c>
      <c r="E247" s="5" t="s">
        <v>80</v>
      </c>
      <c r="F247" s="5"/>
      <c r="G247" s="5"/>
      <c r="H247" s="5"/>
      <c r="I247" s="6" t="s">
        <v>658</v>
      </c>
      <c r="J247" s="3" t="str">
        <f t="shared" si="3"/>
        <v/>
      </c>
      <c r="M247" t="s">
        <v>14</v>
      </c>
      <c r="N247" t="s">
        <v>15</v>
      </c>
      <c r="O247" t="s">
        <v>16</v>
      </c>
      <c r="P247" t="s">
        <v>14</v>
      </c>
      <c r="Q247" t="s">
        <v>15</v>
      </c>
      <c r="R247" t="s">
        <v>38</v>
      </c>
      <c r="S247" t="s">
        <v>560</v>
      </c>
      <c r="T247" t="s">
        <v>18</v>
      </c>
      <c r="U247" t="s">
        <v>19</v>
      </c>
    </row>
    <row r="248" spans="1:21" x14ac:dyDescent="0.25">
      <c r="A248" s="5">
        <v>246</v>
      </c>
      <c r="B248" s="5">
        <v>261246</v>
      </c>
      <c r="C248" s="7" t="s">
        <v>561</v>
      </c>
      <c r="D248" s="5">
        <v>60451277</v>
      </c>
      <c r="E248" s="5" t="s">
        <v>27</v>
      </c>
      <c r="F248" s="5"/>
      <c r="G248" s="5"/>
      <c r="H248" s="5"/>
      <c r="I248" s="6" t="s">
        <v>658</v>
      </c>
      <c r="J248" s="3" t="str">
        <f t="shared" si="3"/>
        <v/>
      </c>
      <c r="M248" t="s">
        <v>14</v>
      </c>
      <c r="N248" t="s">
        <v>15</v>
      </c>
      <c r="O248" t="s">
        <v>110</v>
      </c>
      <c r="P248" t="s">
        <v>14</v>
      </c>
      <c r="Q248" t="s">
        <v>15</v>
      </c>
      <c r="R248" t="s">
        <v>110</v>
      </c>
      <c r="S248" t="s">
        <v>562</v>
      </c>
      <c r="T248" t="s">
        <v>29</v>
      </c>
      <c r="U248" t="s">
        <v>19</v>
      </c>
    </row>
    <row r="249" spans="1:21" x14ac:dyDescent="0.25">
      <c r="A249" s="5">
        <v>247</v>
      </c>
      <c r="B249" s="5">
        <v>261247</v>
      </c>
      <c r="C249" s="7" t="s">
        <v>563</v>
      </c>
      <c r="D249" s="5">
        <v>74944275</v>
      </c>
      <c r="E249" s="5" t="s">
        <v>113</v>
      </c>
      <c r="F249" s="5"/>
      <c r="G249" s="5"/>
      <c r="H249" s="5"/>
      <c r="I249" s="6" t="s">
        <v>659</v>
      </c>
      <c r="J249" s="3" t="str">
        <f t="shared" si="3"/>
        <v>X</v>
      </c>
      <c r="K249">
        <v>30</v>
      </c>
      <c r="L249">
        <v>30</v>
      </c>
      <c r="M249" t="s">
        <v>14</v>
      </c>
      <c r="N249" t="s">
        <v>15</v>
      </c>
      <c r="O249" t="s">
        <v>16</v>
      </c>
      <c r="P249" t="s">
        <v>14</v>
      </c>
      <c r="Q249" t="s">
        <v>15</v>
      </c>
      <c r="R249" t="s">
        <v>16</v>
      </c>
      <c r="S249" t="s">
        <v>564</v>
      </c>
      <c r="T249" t="s">
        <v>29</v>
      </c>
      <c r="U249" t="s">
        <v>19</v>
      </c>
    </row>
    <row r="250" spans="1:21" x14ac:dyDescent="0.25">
      <c r="A250" s="5">
        <v>248</v>
      </c>
      <c r="B250" s="5">
        <v>261248</v>
      </c>
      <c r="C250" s="7" t="s">
        <v>565</v>
      </c>
      <c r="D250" s="5">
        <v>61075053</v>
      </c>
      <c r="E250" s="5" t="s">
        <v>71</v>
      </c>
      <c r="F250" s="5"/>
      <c r="G250" s="5"/>
      <c r="H250" s="5"/>
      <c r="I250" s="6" t="s">
        <v>659</v>
      </c>
      <c r="J250" s="3" t="str">
        <f t="shared" si="3"/>
        <v>X</v>
      </c>
      <c r="K250">
        <v>30</v>
      </c>
      <c r="L250">
        <v>30</v>
      </c>
      <c r="M250" t="s">
        <v>447</v>
      </c>
      <c r="N250" t="s">
        <v>448</v>
      </c>
      <c r="O250" t="s">
        <v>449</v>
      </c>
      <c r="P250" t="s">
        <v>14</v>
      </c>
      <c r="Q250" t="s">
        <v>15</v>
      </c>
      <c r="R250" t="s">
        <v>96</v>
      </c>
      <c r="S250" t="s">
        <v>566</v>
      </c>
      <c r="T250" t="s">
        <v>18</v>
      </c>
      <c r="U250" t="s">
        <v>19</v>
      </c>
    </row>
    <row r="251" spans="1:21" x14ac:dyDescent="0.25">
      <c r="A251" s="5">
        <v>249</v>
      </c>
      <c r="B251" s="5">
        <v>261249</v>
      </c>
      <c r="C251" s="7" t="s">
        <v>567</v>
      </c>
      <c r="D251" s="5">
        <v>60071126</v>
      </c>
      <c r="E251" s="5" t="s">
        <v>37</v>
      </c>
      <c r="F251" s="5"/>
      <c r="G251" s="5"/>
      <c r="H251" s="5"/>
      <c r="I251" s="6" t="s">
        <v>658</v>
      </c>
      <c r="J251" s="3" t="str">
        <f t="shared" si="3"/>
        <v/>
      </c>
      <c r="M251" t="s">
        <v>14</v>
      </c>
      <c r="N251" t="s">
        <v>15</v>
      </c>
      <c r="O251" t="s">
        <v>59</v>
      </c>
      <c r="P251" t="s">
        <v>14</v>
      </c>
      <c r="Q251" t="s">
        <v>15</v>
      </c>
      <c r="R251" t="s">
        <v>59</v>
      </c>
      <c r="S251" t="s">
        <v>568</v>
      </c>
      <c r="T251" t="s">
        <v>29</v>
      </c>
      <c r="U251" t="s">
        <v>19</v>
      </c>
    </row>
    <row r="252" spans="1:21" x14ac:dyDescent="0.25">
      <c r="A252" s="5">
        <v>250</v>
      </c>
      <c r="B252" s="5">
        <v>261250</v>
      </c>
      <c r="C252" s="7" t="s">
        <v>569</v>
      </c>
      <c r="D252" s="5">
        <v>61443863</v>
      </c>
      <c r="E252" s="5" t="s">
        <v>80</v>
      </c>
      <c r="F252" s="5"/>
      <c r="G252" s="5"/>
      <c r="H252" s="5"/>
      <c r="I252" s="6" t="s">
        <v>659</v>
      </c>
      <c r="J252" s="3" t="str">
        <f t="shared" si="3"/>
        <v>X</v>
      </c>
      <c r="K252">
        <v>30</v>
      </c>
      <c r="L252">
        <v>30</v>
      </c>
      <c r="M252" t="s">
        <v>14</v>
      </c>
      <c r="N252" t="s">
        <v>15</v>
      </c>
      <c r="O252" t="s">
        <v>16</v>
      </c>
      <c r="P252" t="s">
        <v>14</v>
      </c>
      <c r="Q252" t="s">
        <v>15</v>
      </c>
      <c r="R252" t="s">
        <v>21</v>
      </c>
      <c r="S252" t="s">
        <v>570</v>
      </c>
      <c r="T252" t="s">
        <v>18</v>
      </c>
      <c r="U252" t="s">
        <v>19</v>
      </c>
    </row>
    <row r="253" spans="1:21" x14ac:dyDescent="0.25">
      <c r="A253" s="5">
        <v>251</v>
      </c>
      <c r="B253" s="5">
        <v>261251</v>
      </c>
      <c r="C253" s="7" t="s">
        <v>571</v>
      </c>
      <c r="D253" s="5">
        <v>61376424</v>
      </c>
      <c r="E253" s="5" t="s">
        <v>113</v>
      </c>
      <c r="F253" s="5"/>
      <c r="G253" s="5"/>
      <c r="H253" s="5"/>
      <c r="I253" s="6" t="s">
        <v>659</v>
      </c>
      <c r="J253" s="3" t="str">
        <f t="shared" si="3"/>
        <v>X</v>
      </c>
      <c r="K253">
        <v>30</v>
      </c>
      <c r="L253">
        <v>30</v>
      </c>
      <c r="M253" t="s">
        <v>14</v>
      </c>
      <c r="N253" t="s">
        <v>15</v>
      </c>
      <c r="O253" t="s">
        <v>21</v>
      </c>
      <c r="P253" t="s">
        <v>14</v>
      </c>
      <c r="Q253" t="s">
        <v>15</v>
      </c>
      <c r="R253" t="s">
        <v>21</v>
      </c>
      <c r="S253" t="s">
        <v>231</v>
      </c>
      <c r="T253" t="s">
        <v>29</v>
      </c>
      <c r="U253" t="s">
        <v>19</v>
      </c>
    </row>
    <row r="254" spans="1:21" x14ac:dyDescent="0.25">
      <c r="A254" s="5">
        <v>252</v>
      </c>
      <c r="B254" s="5">
        <v>261252</v>
      </c>
      <c r="C254" s="7" t="s">
        <v>572</v>
      </c>
      <c r="D254" s="5">
        <v>62051951</v>
      </c>
      <c r="E254" s="5" t="s">
        <v>13</v>
      </c>
      <c r="F254" s="5"/>
      <c r="G254" s="5"/>
      <c r="H254" s="5"/>
      <c r="I254" s="6" t="s">
        <v>659</v>
      </c>
      <c r="J254" s="3" t="str">
        <f t="shared" si="3"/>
        <v>X</v>
      </c>
      <c r="K254">
        <v>30</v>
      </c>
      <c r="L254">
        <v>30</v>
      </c>
      <c r="M254" t="s">
        <v>14</v>
      </c>
      <c r="N254" t="s">
        <v>15</v>
      </c>
      <c r="O254" t="s">
        <v>16</v>
      </c>
      <c r="P254" t="s">
        <v>14</v>
      </c>
      <c r="Q254" t="s">
        <v>15</v>
      </c>
      <c r="R254" t="s">
        <v>59</v>
      </c>
      <c r="S254" t="s">
        <v>573</v>
      </c>
      <c r="T254" t="s">
        <v>29</v>
      </c>
      <c r="U254" t="s">
        <v>19</v>
      </c>
    </row>
    <row r="255" spans="1:21" x14ac:dyDescent="0.25">
      <c r="A255" s="5">
        <v>253</v>
      </c>
      <c r="B255" s="5">
        <v>261253</v>
      </c>
      <c r="C255" s="7" t="s">
        <v>574</v>
      </c>
      <c r="D255" s="5">
        <v>61443401</v>
      </c>
      <c r="E255" s="5" t="s">
        <v>71</v>
      </c>
      <c r="F255" s="5"/>
      <c r="G255" s="5"/>
      <c r="H255" s="5"/>
      <c r="I255" s="6" t="s">
        <v>659</v>
      </c>
      <c r="J255" s="3" t="str">
        <f t="shared" si="3"/>
        <v>X</v>
      </c>
      <c r="K255">
        <v>30</v>
      </c>
      <c r="L255">
        <v>30</v>
      </c>
      <c r="M255" t="s">
        <v>14</v>
      </c>
      <c r="N255" t="s">
        <v>15</v>
      </c>
      <c r="O255" t="s">
        <v>59</v>
      </c>
      <c r="P255" t="s">
        <v>14</v>
      </c>
      <c r="Q255" t="s">
        <v>15</v>
      </c>
      <c r="R255" t="s">
        <v>59</v>
      </c>
      <c r="S255" t="s">
        <v>515</v>
      </c>
      <c r="T255" t="s">
        <v>29</v>
      </c>
      <c r="U255" t="s">
        <v>19</v>
      </c>
    </row>
    <row r="256" spans="1:21" x14ac:dyDescent="0.25">
      <c r="A256" s="5">
        <v>254</v>
      </c>
      <c r="B256" s="5">
        <v>261254</v>
      </c>
      <c r="C256" s="7" t="s">
        <v>575</v>
      </c>
      <c r="D256" s="5">
        <v>61487139</v>
      </c>
      <c r="E256" s="5" t="s">
        <v>37</v>
      </c>
      <c r="F256" s="5"/>
      <c r="G256" s="5"/>
      <c r="H256" s="5"/>
      <c r="I256" s="6" t="s">
        <v>659</v>
      </c>
      <c r="J256" s="3" t="str">
        <f t="shared" si="3"/>
        <v>X</v>
      </c>
      <c r="K256">
        <v>30</v>
      </c>
      <c r="L256">
        <v>30</v>
      </c>
      <c r="M256" t="s">
        <v>14</v>
      </c>
      <c r="N256" t="s">
        <v>15</v>
      </c>
      <c r="O256" t="s">
        <v>21</v>
      </c>
      <c r="P256" t="s">
        <v>14</v>
      </c>
      <c r="Q256" t="s">
        <v>15</v>
      </c>
      <c r="R256" t="s">
        <v>21</v>
      </c>
      <c r="S256" t="s">
        <v>576</v>
      </c>
      <c r="T256" t="s">
        <v>18</v>
      </c>
      <c r="U256" t="s">
        <v>19</v>
      </c>
    </row>
    <row r="257" spans="1:21" x14ac:dyDescent="0.25">
      <c r="A257" s="5">
        <v>255</v>
      </c>
      <c r="B257" s="5">
        <v>261255</v>
      </c>
      <c r="C257" s="7" t="s">
        <v>577</v>
      </c>
      <c r="D257" s="5">
        <v>61487176</v>
      </c>
      <c r="E257" s="5" t="s">
        <v>13</v>
      </c>
      <c r="F257" s="5"/>
      <c r="G257" s="5"/>
      <c r="H257" s="5"/>
      <c r="I257" s="6" t="s">
        <v>659</v>
      </c>
      <c r="J257" s="3" t="str">
        <f t="shared" si="3"/>
        <v>X</v>
      </c>
      <c r="K257">
        <v>30</v>
      </c>
      <c r="L257">
        <v>30</v>
      </c>
      <c r="M257" t="s">
        <v>14</v>
      </c>
      <c r="N257" t="s">
        <v>15</v>
      </c>
      <c r="O257" t="s">
        <v>21</v>
      </c>
      <c r="P257" t="s">
        <v>14</v>
      </c>
      <c r="Q257" t="s">
        <v>15</v>
      </c>
      <c r="R257" t="s">
        <v>21</v>
      </c>
      <c r="S257" t="s">
        <v>578</v>
      </c>
      <c r="T257" t="s">
        <v>18</v>
      </c>
      <c r="U257" t="s">
        <v>19</v>
      </c>
    </row>
    <row r="258" spans="1:21" x14ac:dyDescent="0.25">
      <c r="A258" s="5">
        <v>256</v>
      </c>
      <c r="B258" s="5">
        <v>261256</v>
      </c>
      <c r="C258" s="7" t="s">
        <v>579</v>
      </c>
      <c r="D258" s="5">
        <v>75685364</v>
      </c>
      <c r="E258" s="5" t="s">
        <v>80</v>
      </c>
      <c r="F258" s="5"/>
      <c r="G258" s="5"/>
      <c r="H258" s="5"/>
      <c r="I258" s="6" t="s">
        <v>659</v>
      </c>
      <c r="J258" s="3" t="str">
        <f t="shared" si="3"/>
        <v>X</v>
      </c>
      <c r="K258">
        <v>30</v>
      </c>
      <c r="L258">
        <v>30</v>
      </c>
      <c r="M258" t="s">
        <v>14</v>
      </c>
      <c r="N258" t="s">
        <v>15</v>
      </c>
      <c r="O258" t="s">
        <v>16</v>
      </c>
      <c r="P258" t="s">
        <v>14</v>
      </c>
      <c r="Q258" t="s">
        <v>15</v>
      </c>
      <c r="R258" t="s">
        <v>16</v>
      </c>
      <c r="S258" t="s">
        <v>580</v>
      </c>
      <c r="T258" t="s">
        <v>29</v>
      </c>
      <c r="U258" t="s">
        <v>46</v>
      </c>
    </row>
    <row r="259" spans="1:21" x14ac:dyDescent="0.25">
      <c r="A259" s="5">
        <v>257</v>
      </c>
      <c r="B259" s="5">
        <v>261257</v>
      </c>
      <c r="C259" s="7" t="s">
        <v>581</v>
      </c>
      <c r="D259" s="5">
        <v>61526080</v>
      </c>
      <c r="E259" s="5" t="s">
        <v>71</v>
      </c>
      <c r="F259" s="5"/>
      <c r="G259" s="5"/>
      <c r="H259" s="5"/>
      <c r="I259" s="6" t="s">
        <v>658</v>
      </c>
      <c r="J259" s="3" t="str">
        <f t="shared" ref="J259:J322" si="4">IF(AND(K259=30, L259=30), "X", "")</f>
        <v/>
      </c>
      <c r="M259" t="s">
        <v>14</v>
      </c>
      <c r="N259" t="s">
        <v>15</v>
      </c>
      <c r="O259" t="s">
        <v>16</v>
      </c>
      <c r="P259" t="s">
        <v>14</v>
      </c>
      <c r="Q259" t="s">
        <v>15</v>
      </c>
      <c r="R259" t="s">
        <v>16</v>
      </c>
      <c r="S259" t="s">
        <v>582</v>
      </c>
      <c r="T259" t="s">
        <v>29</v>
      </c>
      <c r="U259" t="s">
        <v>46</v>
      </c>
    </row>
    <row r="260" spans="1:21" x14ac:dyDescent="0.25">
      <c r="A260" s="5">
        <v>258</v>
      </c>
      <c r="B260" s="5">
        <v>261258</v>
      </c>
      <c r="C260" s="7" t="s">
        <v>583</v>
      </c>
      <c r="D260" s="5">
        <v>61347571</v>
      </c>
      <c r="E260" s="5" t="s">
        <v>113</v>
      </c>
      <c r="F260" s="5"/>
      <c r="G260" s="5"/>
      <c r="H260" s="5"/>
      <c r="I260" s="6" t="s">
        <v>658</v>
      </c>
      <c r="J260" s="3" t="str">
        <f t="shared" si="4"/>
        <v/>
      </c>
      <c r="M260" t="s">
        <v>14</v>
      </c>
      <c r="N260" t="s">
        <v>15</v>
      </c>
      <c r="O260" t="s">
        <v>16</v>
      </c>
      <c r="P260" t="s">
        <v>14</v>
      </c>
      <c r="Q260" t="s">
        <v>15</v>
      </c>
      <c r="R260" t="s">
        <v>16</v>
      </c>
      <c r="S260" t="s">
        <v>584</v>
      </c>
      <c r="T260" t="s">
        <v>18</v>
      </c>
      <c r="U260" t="s">
        <v>19</v>
      </c>
    </row>
    <row r="261" spans="1:21" x14ac:dyDescent="0.25">
      <c r="A261" s="5">
        <v>259</v>
      </c>
      <c r="B261" s="5">
        <v>261259</v>
      </c>
      <c r="C261" s="7" t="s">
        <v>585</v>
      </c>
      <c r="D261" s="5">
        <v>61779548</v>
      </c>
      <c r="E261" s="5" t="s">
        <v>27</v>
      </c>
      <c r="F261" s="5"/>
      <c r="G261" s="5"/>
      <c r="H261" s="5"/>
      <c r="I261" s="6" t="s">
        <v>659</v>
      </c>
      <c r="J261" s="3" t="str">
        <f t="shared" si="4"/>
        <v>X</v>
      </c>
      <c r="K261">
        <v>30</v>
      </c>
      <c r="L261">
        <v>30</v>
      </c>
      <c r="M261" t="s">
        <v>14</v>
      </c>
      <c r="N261" t="s">
        <v>15</v>
      </c>
      <c r="O261" t="s">
        <v>16</v>
      </c>
      <c r="P261" t="s">
        <v>14</v>
      </c>
      <c r="Q261" t="s">
        <v>15</v>
      </c>
      <c r="R261" t="s">
        <v>59</v>
      </c>
      <c r="S261" t="s">
        <v>586</v>
      </c>
      <c r="T261" t="s">
        <v>29</v>
      </c>
      <c r="U261" t="s">
        <v>19</v>
      </c>
    </row>
    <row r="262" spans="1:21" x14ac:dyDescent="0.25">
      <c r="A262" s="5">
        <v>260</v>
      </c>
      <c r="B262" s="5">
        <v>261260</v>
      </c>
      <c r="C262" s="7" t="s">
        <v>587</v>
      </c>
      <c r="D262" s="5">
        <v>81395125</v>
      </c>
      <c r="E262" s="5" t="s">
        <v>37</v>
      </c>
      <c r="F262" s="5"/>
      <c r="G262" s="5"/>
      <c r="H262" s="5"/>
      <c r="I262" s="6" t="s">
        <v>659</v>
      </c>
      <c r="J262" s="3" t="str">
        <f t="shared" si="4"/>
        <v>X</v>
      </c>
      <c r="K262">
        <v>30</v>
      </c>
      <c r="L262">
        <v>30</v>
      </c>
      <c r="M262" t="s">
        <v>14</v>
      </c>
      <c r="N262" t="s">
        <v>15</v>
      </c>
      <c r="O262" t="s">
        <v>21</v>
      </c>
      <c r="P262" t="s">
        <v>14</v>
      </c>
      <c r="Q262" t="s">
        <v>15</v>
      </c>
      <c r="R262" t="s">
        <v>21</v>
      </c>
      <c r="S262" t="s">
        <v>588</v>
      </c>
      <c r="T262" t="s">
        <v>29</v>
      </c>
      <c r="U262" t="s">
        <v>19</v>
      </c>
    </row>
    <row r="263" spans="1:21" x14ac:dyDescent="0.25">
      <c r="A263" s="5">
        <v>261</v>
      </c>
      <c r="B263" s="5">
        <v>261261</v>
      </c>
      <c r="C263" s="7" t="s">
        <v>589</v>
      </c>
      <c r="D263" s="5">
        <v>62051905</v>
      </c>
      <c r="E263" s="5" t="s">
        <v>113</v>
      </c>
      <c r="F263" s="5"/>
      <c r="G263" s="5"/>
      <c r="H263" s="5"/>
      <c r="I263" s="6" t="s">
        <v>659</v>
      </c>
      <c r="J263" s="3" t="str">
        <f t="shared" si="4"/>
        <v>X</v>
      </c>
      <c r="K263">
        <v>30</v>
      </c>
      <c r="L263">
        <v>30</v>
      </c>
      <c r="M263" t="s">
        <v>14</v>
      </c>
      <c r="N263" t="s">
        <v>15</v>
      </c>
      <c r="O263" t="s">
        <v>16</v>
      </c>
      <c r="P263" t="s">
        <v>14</v>
      </c>
      <c r="Q263" t="s">
        <v>15</v>
      </c>
      <c r="R263" t="s">
        <v>16</v>
      </c>
      <c r="S263" t="s">
        <v>416</v>
      </c>
      <c r="T263" t="s">
        <v>29</v>
      </c>
      <c r="U263" t="s">
        <v>19</v>
      </c>
    </row>
    <row r="264" spans="1:21" x14ac:dyDescent="0.25">
      <c r="A264" s="5">
        <v>262</v>
      </c>
      <c r="B264" s="5">
        <v>261262</v>
      </c>
      <c r="C264" s="7" t="s">
        <v>590</v>
      </c>
      <c r="D264" s="5">
        <v>61389799</v>
      </c>
      <c r="E264" s="5" t="s">
        <v>27</v>
      </c>
      <c r="F264" s="5"/>
      <c r="G264" s="5"/>
      <c r="H264" s="5"/>
      <c r="I264" s="6" t="s">
        <v>659</v>
      </c>
      <c r="J264" s="3" t="str">
        <f t="shared" si="4"/>
        <v>X</v>
      </c>
      <c r="K264">
        <v>30</v>
      </c>
      <c r="L264">
        <v>30</v>
      </c>
      <c r="M264" t="s">
        <v>14</v>
      </c>
      <c r="N264" t="s">
        <v>15</v>
      </c>
      <c r="O264" t="s">
        <v>16</v>
      </c>
      <c r="P264" t="s">
        <v>14</v>
      </c>
      <c r="Q264" t="s">
        <v>15</v>
      </c>
      <c r="R264" t="s">
        <v>16</v>
      </c>
      <c r="S264" t="s">
        <v>591</v>
      </c>
      <c r="T264" t="s">
        <v>29</v>
      </c>
      <c r="U264" t="s">
        <v>19</v>
      </c>
    </row>
    <row r="265" spans="1:21" x14ac:dyDescent="0.25">
      <c r="A265" s="5">
        <v>263</v>
      </c>
      <c r="B265" s="5">
        <v>261263</v>
      </c>
      <c r="C265" s="7" t="s">
        <v>592</v>
      </c>
      <c r="D265" s="5">
        <v>61611483</v>
      </c>
      <c r="E265" s="5" t="s">
        <v>80</v>
      </c>
      <c r="F265" s="5"/>
      <c r="G265" s="5"/>
      <c r="H265" s="5"/>
      <c r="I265" s="6" t="s">
        <v>659</v>
      </c>
      <c r="J265" s="3" t="str">
        <f t="shared" si="4"/>
        <v>X</v>
      </c>
      <c r="K265">
        <v>30</v>
      </c>
      <c r="L265">
        <v>30</v>
      </c>
      <c r="M265" t="s">
        <v>14</v>
      </c>
      <c r="N265" t="s">
        <v>15</v>
      </c>
      <c r="O265" t="s">
        <v>16</v>
      </c>
      <c r="P265" t="s">
        <v>14</v>
      </c>
      <c r="Q265" t="s">
        <v>15</v>
      </c>
      <c r="R265" t="s">
        <v>38</v>
      </c>
      <c r="S265" t="s">
        <v>542</v>
      </c>
      <c r="T265" t="s">
        <v>18</v>
      </c>
      <c r="U265" t="s">
        <v>19</v>
      </c>
    </row>
    <row r="266" spans="1:21" x14ac:dyDescent="0.25">
      <c r="A266" s="5">
        <v>264</v>
      </c>
      <c r="B266" s="5">
        <v>261264</v>
      </c>
      <c r="C266" s="7" t="s">
        <v>593</v>
      </c>
      <c r="D266" s="5">
        <v>61779500</v>
      </c>
      <c r="E266" s="5" t="s">
        <v>113</v>
      </c>
      <c r="F266" s="5"/>
      <c r="G266" s="5"/>
      <c r="H266" s="5"/>
      <c r="I266" s="6" t="s">
        <v>659</v>
      </c>
      <c r="J266" s="3" t="str">
        <f t="shared" si="4"/>
        <v>X</v>
      </c>
      <c r="K266">
        <v>30</v>
      </c>
      <c r="L266">
        <v>30</v>
      </c>
      <c r="M266" t="s">
        <v>14</v>
      </c>
      <c r="N266" t="s">
        <v>15</v>
      </c>
      <c r="O266" t="s">
        <v>16</v>
      </c>
      <c r="P266" t="s">
        <v>14</v>
      </c>
      <c r="Q266" t="s">
        <v>15</v>
      </c>
      <c r="R266" t="s">
        <v>16</v>
      </c>
      <c r="S266" t="s">
        <v>594</v>
      </c>
      <c r="T266" t="s">
        <v>18</v>
      </c>
      <c r="U266" t="s">
        <v>46</v>
      </c>
    </row>
    <row r="267" spans="1:21" x14ac:dyDescent="0.25">
      <c r="A267" s="5">
        <v>265</v>
      </c>
      <c r="B267" s="5">
        <v>261265</v>
      </c>
      <c r="C267" s="7" t="s">
        <v>595</v>
      </c>
      <c r="D267" s="5">
        <v>60325820</v>
      </c>
      <c r="E267" s="5" t="s">
        <v>13</v>
      </c>
      <c r="F267" s="5"/>
      <c r="G267" s="5"/>
      <c r="H267" s="5"/>
      <c r="I267" s="6" t="s">
        <v>659</v>
      </c>
      <c r="J267" s="3" t="str">
        <f t="shared" si="4"/>
        <v>X</v>
      </c>
      <c r="K267">
        <v>30</v>
      </c>
      <c r="L267">
        <v>30</v>
      </c>
      <c r="M267" t="s">
        <v>349</v>
      </c>
      <c r="N267" t="s">
        <v>349</v>
      </c>
      <c r="O267" t="s">
        <v>349</v>
      </c>
      <c r="P267" t="s">
        <v>14</v>
      </c>
      <c r="Q267" t="s">
        <v>15</v>
      </c>
      <c r="R267" t="s">
        <v>21</v>
      </c>
      <c r="S267" t="s">
        <v>596</v>
      </c>
      <c r="T267" t="s">
        <v>18</v>
      </c>
      <c r="U267" t="s">
        <v>78</v>
      </c>
    </row>
    <row r="268" spans="1:21" x14ac:dyDescent="0.25">
      <c r="A268" s="5">
        <v>266</v>
      </c>
      <c r="B268" s="5">
        <v>261266</v>
      </c>
      <c r="C268" s="7" t="s">
        <v>597</v>
      </c>
      <c r="D268" s="5">
        <v>62186179</v>
      </c>
      <c r="E268" s="5" t="s">
        <v>71</v>
      </c>
      <c r="F268" s="5"/>
      <c r="G268" s="5"/>
      <c r="H268" s="5"/>
      <c r="I268" s="6" t="s">
        <v>659</v>
      </c>
      <c r="J268" s="3" t="str">
        <f t="shared" si="4"/>
        <v>X</v>
      </c>
      <c r="K268">
        <v>30</v>
      </c>
      <c r="L268">
        <v>30</v>
      </c>
      <c r="M268" t="s">
        <v>14</v>
      </c>
      <c r="N268" t="s">
        <v>52</v>
      </c>
      <c r="O268" t="s">
        <v>497</v>
      </c>
      <c r="P268" t="s">
        <v>14</v>
      </c>
      <c r="Q268" t="s">
        <v>15</v>
      </c>
      <c r="R268" t="s">
        <v>21</v>
      </c>
      <c r="S268" t="s">
        <v>598</v>
      </c>
      <c r="T268" t="s">
        <v>29</v>
      </c>
      <c r="U268" t="s">
        <v>19</v>
      </c>
    </row>
    <row r="269" spans="1:21" x14ac:dyDescent="0.25">
      <c r="A269" s="5">
        <v>267</v>
      </c>
      <c r="B269" s="5">
        <v>261267</v>
      </c>
      <c r="C269" s="7" t="s">
        <v>599</v>
      </c>
      <c r="D269" s="5">
        <v>61428604</v>
      </c>
      <c r="E269" s="5" t="s">
        <v>37</v>
      </c>
      <c r="F269" s="5"/>
      <c r="G269" s="5"/>
      <c r="H269" s="5"/>
      <c r="I269" s="6" t="s">
        <v>659</v>
      </c>
      <c r="J269" s="3" t="str">
        <f t="shared" si="4"/>
        <v>X</v>
      </c>
      <c r="K269">
        <v>30</v>
      </c>
      <c r="L269">
        <v>30</v>
      </c>
      <c r="M269" t="s">
        <v>14</v>
      </c>
      <c r="N269" t="s">
        <v>15</v>
      </c>
      <c r="O269" t="s">
        <v>21</v>
      </c>
      <c r="P269" t="s">
        <v>14</v>
      </c>
      <c r="Q269" t="s">
        <v>15</v>
      </c>
      <c r="R269" t="s">
        <v>21</v>
      </c>
      <c r="S269" t="s">
        <v>600</v>
      </c>
      <c r="T269" t="s">
        <v>18</v>
      </c>
      <c r="U269" t="s">
        <v>19</v>
      </c>
    </row>
    <row r="270" spans="1:21" x14ac:dyDescent="0.25">
      <c r="A270" s="5">
        <v>268</v>
      </c>
      <c r="B270" s="5">
        <v>261268</v>
      </c>
      <c r="C270" s="7" t="s">
        <v>601</v>
      </c>
      <c r="D270" s="5">
        <v>61389422</v>
      </c>
      <c r="E270" s="5" t="s">
        <v>71</v>
      </c>
      <c r="F270" s="5"/>
      <c r="G270" s="5"/>
      <c r="H270" s="5"/>
      <c r="I270" s="6" t="s">
        <v>659</v>
      </c>
      <c r="J270" s="3" t="str">
        <f t="shared" si="4"/>
        <v>X</v>
      </c>
      <c r="K270">
        <v>30</v>
      </c>
      <c r="L270">
        <v>30</v>
      </c>
      <c r="M270" t="s">
        <v>14</v>
      </c>
      <c r="N270" t="s">
        <v>15</v>
      </c>
      <c r="O270" t="s">
        <v>16</v>
      </c>
      <c r="P270" t="s">
        <v>14</v>
      </c>
      <c r="Q270" t="s">
        <v>15</v>
      </c>
      <c r="R270" t="s">
        <v>59</v>
      </c>
      <c r="S270" t="s">
        <v>602</v>
      </c>
      <c r="T270" t="s">
        <v>18</v>
      </c>
      <c r="U270" t="s">
        <v>19</v>
      </c>
    </row>
    <row r="271" spans="1:21" x14ac:dyDescent="0.25">
      <c r="A271" s="5">
        <v>269</v>
      </c>
      <c r="B271" s="5">
        <v>261269</v>
      </c>
      <c r="C271" s="7" t="s">
        <v>603</v>
      </c>
      <c r="D271" s="5">
        <v>61443606</v>
      </c>
      <c r="E271" s="5" t="s">
        <v>27</v>
      </c>
      <c r="F271" s="5"/>
      <c r="G271" s="5"/>
      <c r="H271" s="5"/>
      <c r="I271" s="6" t="s">
        <v>659</v>
      </c>
      <c r="J271" s="3" t="str">
        <f t="shared" si="4"/>
        <v>X</v>
      </c>
      <c r="K271">
        <v>30</v>
      </c>
      <c r="L271">
        <v>30</v>
      </c>
      <c r="M271" t="s">
        <v>14</v>
      </c>
      <c r="N271" t="s">
        <v>15</v>
      </c>
      <c r="O271" t="s">
        <v>16</v>
      </c>
      <c r="P271" t="s">
        <v>14</v>
      </c>
      <c r="Q271" t="s">
        <v>15</v>
      </c>
      <c r="R271" t="s">
        <v>16</v>
      </c>
      <c r="S271" t="s">
        <v>117</v>
      </c>
      <c r="T271" t="s">
        <v>18</v>
      </c>
      <c r="U271" t="s">
        <v>19</v>
      </c>
    </row>
    <row r="272" spans="1:21" x14ac:dyDescent="0.25">
      <c r="A272" s="5">
        <v>270</v>
      </c>
      <c r="B272" s="5">
        <v>261270</v>
      </c>
      <c r="C272" s="7" t="s">
        <v>604</v>
      </c>
      <c r="D272" s="5">
        <v>60371776</v>
      </c>
      <c r="E272" s="5" t="s">
        <v>113</v>
      </c>
      <c r="F272" s="5"/>
      <c r="G272" s="5"/>
      <c r="H272" s="5"/>
      <c r="I272" s="6" t="s">
        <v>659</v>
      </c>
      <c r="J272" s="3" t="str">
        <f t="shared" si="4"/>
        <v>X</v>
      </c>
      <c r="K272">
        <v>30</v>
      </c>
      <c r="L272">
        <v>30</v>
      </c>
      <c r="M272" t="s">
        <v>14</v>
      </c>
      <c r="N272" t="s">
        <v>15</v>
      </c>
      <c r="O272" t="s">
        <v>16</v>
      </c>
      <c r="P272" t="s">
        <v>14</v>
      </c>
      <c r="Q272" t="s">
        <v>15</v>
      </c>
      <c r="R272" t="s">
        <v>59</v>
      </c>
      <c r="S272" t="s">
        <v>605</v>
      </c>
      <c r="T272" t="s">
        <v>18</v>
      </c>
      <c r="U272" t="s">
        <v>19</v>
      </c>
    </row>
    <row r="273" spans="1:21" x14ac:dyDescent="0.25">
      <c r="A273" s="5">
        <v>271</v>
      </c>
      <c r="B273" s="5">
        <v>261271</v>
      </c>
      <c r="C273" s="7" t="s">
        <v>606</v>
      </c>
      <c r="D273" s="5">
        <v>62026527</v>
      </c>
      <c r="E273" s="5" t="s">
        <v>37</v>
      </c>
      <c r="F273" s="5"/>
      <c r="G273" s="5"/>
      <c r="H273" s="5"/>
      <c r="I273" s="6" t="s">
        <v>659</v>
      </c>
      <c r="J273" s="3" t="str">
        <f t="shared" si="4"/>
        <v>X</v>
      </c>
      <c r="K273">
        <v>30</v>
      </c>
      <c r="L273">
        <v>30</v>
      </c>
      <c r="M273" t="s">
        <v>14</v>
      </c>
      <c r="N273" t="s">
        <v>52</v>
      </c>
      <c r="O273" t="s">
        <v>376</v>
      </c>
      <c r="P273" t="s">
        <v>14</v>
      </c>
      <c r="Q273" t="s">
        <v>15</v>
      </c>
      <c r="R273" t="s">
        <v>96</v>
      </c>
      <c r="S273" t="s">
        <v>607</v>
      </c>
      <c r="T273" t="s">
        <v>18</v>
      </c>
      <c r="U273" t="s">
        <v>19</v>
      </c>
    </row>
    <row r="274" spans="1:21" x14ac:dyDescent="0.25">
      <c r="A274" s="5">
        <v>272</v>
      </c>
      <c r="B274" s="5">
        <v>261272</v>
      </c>
      <c r="C274" s="7" t="s">
        <v>608</v>
      </c>
      <c r="D274" s="5">
        <v>61960423</v>
      </c>
      <c r="E274" s="5" t="s">
        <v>80</v>
      </c>
      <c r="F274" s="5"/>
      <c r="G274" s="5"/>
      <c r="H274" s="5"/>
      <c r="I274" s="6" t="s">
        <v>659</v>
      </c>
      <c r="J274" s="3" t="str">
        <f t="shared" si="4"/>
        <v>X</v>
      </c>
      <c r="K274">
        <v>30</v>
      </c>
      <c r="L274">
        <v>30</v>
      </c>
      <c r="M274" t="s">
        <v>14</v>
      </c>
      <c r="N274" t="s">
        <v>15</v>
      </c>
      <c r="O274" t="s">
        <v>609</v>
      </c>
      <c r="P274" t="s">
        <v>14</v>
      </c>
      <c r="Q274" t="s">
        <v>15</v>
      </c>
      <c r="R274" t="s">
        <v>110</v>
      </c>
      <c r="S274" t="s">
        <v>159</v>
      </c>
      <c r="T274" t="s">
        <v>18</v>
      </c>
      <c r="U274" t="s">
        <v>19</v>
      </c>
    </row>
    <row r="275" spans="1:21" x14ac:dyDescent="0.25">
      <c r="A275" s="5">
        <v>273</v>
      </c>
      <c r="B275" s="5">
        <v>261273</v>
      </c>
      <c r="C275" s="7" t="s">
        <v>610</v>
      </c>
      <c r="D275" s="5">
        <v>73828951</v>
      </c>
      <c r="E275" s="5" t="s">
        <v>13</v>
      </c>
      <c r="F275" s="5"/>
      <c r="G275" s="5"/>
      <c r="H275" s="5"/>
      <c r="I275" s="6" t="s">
        <v>659</v>
      </c>
      <c r="J275" s="3" t="str">
        <f t="shared" si="4"/>
        <v>X</v>
      </c>
      <c r="K275">
        <v>30</v>
      </c>
      <c r="L275">
        <v>30</v>
      </c>
      <c r="M275" t="s">
        <v>14</v>
      </c>
      <c r="N275" t="s">
        <v>15</v>
      </c>
      <c r="O275" t="s">
        <v>16</v>
      </c>
      <c r="P275" t="s">
        <v>14</v>
      </c>
      <c r="Q275" t="s">
        <v>15</v>
      </c>
      <c r="R275" t="s">
        <v>38</v>
      </c>
      <c r="S275" t="s">
        <v>611</v>
      </c>
      <c r="T275" t="s">
        <v>18</v>
      </c>
      <c r="U275" t="s">
        <v>19</v>
      </c>
    </row>
    <row r="276" spans="1:21" x14ac:dyDescent="0.25">
      <c r="A276" s="5">
        <v>274</v>
      </c>
      <c r="B276" s="5">
        <v>261274</v>
      </c>
      <c r="C276" s="7" t="s">
        <v>612</v>
      </c>
      <c r="D276" s="5">
        <v>73828952</v>
      </c>
      <c r="E276" s="5" t="s">
        <v>71</v>
      </c>
      <c r="F276" s="5"/>
      <c r="G276" s="5"/>
      <c r="H276" s="5"/>
      <c r="I276" s="6" t="s">
        <v>659</v>
      </c>
      <c r="J276" s="3" t="str">
        <f t="shared" si="4"/>
        <v>X</v>
      </c>
      <c r="K276">
        <v>30</v>
      </c>
      <c r="L276">
        <v>30</v>
      </c>
      <c r="M276" t="s">
        <v>14</v>
      </c>
      <c r="N276" t="s">
        <v>15</v>
      </c>
      <c r="O276" t="s">
        <v>16</v>
      </c>
      <c r="P276" t="s">
        <v>14</v>
      </c>
      <c r="Q276" t="s">
        <v>15</v>
      </c>
      <c r="R276" t="s">
        <v>38</v>
      </c>
      <c r="S276" t="s">
        <v>613</v>
      </c>
      <c r="T276" t="s">
        <v>18</v>
      </c>
      <c r="U276" t="s">
        <v>19</v>
      </c>
    </row>
    <row r="277" spans="1:21" x14ac:dyDescent="0.25">
      <c r="A277" s="5">
        <v>275</v>
      </c>
      <c r="B277" s="5">
        <v>261275</v>
      </c>
      <c r="C277" s="7" t="s">
        <v>614</v>
      </c>
      <c r="D277" s="5">
        <v>73997043</v>
      </c>
      <c r="E277" s="5" t="s">
        <v>27</v>
      </c>
      <c r="F277" s="5"/>
      <c r="G277" s="5"/>
      <c r="H277" s="5"/>
      <c r="I277" s="6" t="s">
        <v>659</v>
      </c>
      <c r="J277" s="3" t="str">
        <f t="shared" si="4"/>
        <v>X</v>
      </c>
      <c r="K277">
        <v>30</v>
      </c>
      <c r="L277">
        <v>30</v>
      </c>
      <c r="M277" t="s">
        <v>14</v>
      </c>
      <c r="N277" t="s">
        <v>15</v>
      </c>
      <c r="O277" t="s">
        <v>96</v>
      </c>
      <c r="P277" t="s">
        <v>14</v>
      </c>
      <c r="Q277" t="s">
        <v>15</v>
      </c>
      <c r="R277" t="s">
        <v>96</v>
      </c>
      <c r="S277" t="s">
        <v>615</v>
      </c>
      <c r="T277" t="s">
        <v>29</v>
      </c>
      <c r="U277" t="s">
        <v>19</v>
      </c>
    </row>
    <row r="278" spans="1:21" x14ac:dyDescent="0.25">
      <c r="A278" s="5">
        <v>276</v>
      </c>
      <c r="B278" s="5">
        <v>261276</v>
      </c>
      <c r="C278" s="7" t="s">
        <v>616</v>
      </c>
      <c r="D278" s="5">
        <v>61240920</v>
      </c>
      <c r="E278" s="5" t="s">
        <v>37</v>
      </c>
      <c r="F278" s="5"/>
      <c r="G278" s="5"/>
      <c r="H278" s="5"/>
      <c r="I278" s="6" t="s">
        <v>658</v>
      </c>
      <c r="J278" s="3" t="str">
        <f t="shared" si="4"/>
        <v/>
      </c>
      <c r="M278" t="s">
        <v>14</v>
      </c>
      <c r="N278" t="s">
        <v>15</v>
      </c>
      <c r="O278" t="s">
        <v>110</v>
      </c>
      <c r="P278" t="s">
        <v>14</v>
      </c>
      <c r="Q278" t="s">
        <v>15</v>
      </c>
      <c r="R278" t="s">
        <v>110</v>
      </c>
      <c r="S278" t="s">
        <v>617</v>
      </c>
      <c r="T278" t="s">
        <v>29</v>
      </c>
      <c r="U278" t="s">
        <v>19</v>
      </c>
    </row>
    <row r="279" spans="1:21" x14ac:dyDescent="0.25">
      <c r="A279" s="5">
        <v>277</v>
      </c>
      <c r="B279" s="5">
        <v>261277</v>
      </c>
      <c r="C279" s="7" t="s">
        <v>618</v>
      </c>
      <c r="D279" s="5" t="s">
        <v>619</v>
      </c>
      <c r="E279" s="5" t="s">
        <v>80</v>
      </c>
      <c r="F279" s="5"/>
      <c r="G279" s="5"/>
      <c r="H279" s="5"/>
      <c r="I279" s="6" t="s">
        <v>659</v>
      </c>
      <c r="J279" s="3" t="str">
        <f t="shared" si="4"/>
        <v>X</v>
      </c>
      <c r="K279">
        <v>30</v>
      </c>
      <c r="L279">
        <v>30</v>
      </c>
      <c r="M279" t="s">
        <v>190</v>
      </c>
      <c r="N279" t="s">
        <v>190</v>
      </c>
      <c r="O279" t="s">
        <v>190</v>
      </c>
      <c r="P279" t="s">
        <v>14</v>
      </c>
      <c r="Q279" t="s">
        <v>15</v>
      </c>
      <c r="R279" t="s">
        <v>96</v>
      </c>
      <c r="S279" t="s">
        <v>620</v>
      </c>
      <c r="T279" t="s">
        <v>29</v>
      </c>
      <c r="U279" t="s">
        <v>19</v>
      </c>
    </row>
    <row r="280" spans="1:21" x14ac:dyDescent="0.25">
      <c r="A280" s="5">
        <v>278</v>
      </c>
      <c r="B280" s="5">
        <v>261278</v>
      </c>
      <c r="C280" s="7" t="s">
        <v>621</v>
      </c>
      <c r="D280" s="5">
        <v>61199822</v>
      </c>
      <c r="E280" s="5" t="s">
        <v>13</v>
      </c>
      <c r="F280" s="5"/>
      <c r="G280" s="5"/>
      <c r="H280" s="5"/>
      <c r="I280" s="6" t="s">
        <v>658</v>
      </c>
      <c r="J280" s="3" t="str">
        <f t="shared" si="4"/>
        <v/>
      </c>
      <c r="M280" t="s">
        <v>14</v>
      </c>
      <c r="N280" t="s">
        <v>15</v>
      </c>
      <c r="O280" t="s">
        <v>16</v>
      </c>
      <c r="P280" t="s">
        <v>14</v>
      </c>
      <c r="Q280" t="s">
        <v>15</v>
      </c>
      <c r="R280" t="s">
        <v>16</v>
      </c>
      <c r="S280" t="s">
        <v>622</v>
      </c>
      <c r="T280" t="s">
        <v>29</v>
      </c>
      <c r="U280" t="s">
        <v>19</v>
      </c>
    </row>
    <row r="281" spans="1:21" x14ac:dyDescent="0.25">
      <c r="A281" s="5">
        <v>279</v>
      </c>
      <c r="B281" s="5">
        <v>261279</v>
      </c>
      <c r="C281" s="7" t="s">
        <v>623</v>
      </c>
      <c r="D281" s="5">
        <v>61779498</v>
      </c>
      <c r="E281" s="5" t="s">
        <v>71</v>
      </c>
      <c r="F281" s="5"/>
      <c r="G281" s="5"/>
      <c r="H281" s="5"/>
      <c r="I281" s="6" t="s">
        <v>659</v>
      </c>
      <c r="J281" s="3" t="str">
        <f t="shared" si="4"/>
        <v>X</v>
      </c>
      <c r="K281">
        <v>30</v>
      </c>
      <c r="L281">
        <v>30</v>
      </c>
      <c r="M281" t="s">
        <v>14</v>
      </c>
      <c r="N281" t="s">
        <v>15</v>
      </c>
      <c r="O281" t="s">
        <v>16</v>
      </c>
      <c r="P281" t="s">
        <v>14</v>
      </c>
      <c r="Q281" t="s">
        <v>15</v>
      </c>
      <c r="R281" t="s">
        <v>16</v>
      </c>
      <c r="S281" t="s">
        <v>434</v>
      </c>
      <c r="T281" t="s">
        <v>18</v>
      </c>
      <c r="U281" t="s">
        <v>19</v>
      </c>
    </row>
    <row r="282" spans="1:21" x14ac:dyDescent="0.25">
      <c r="A282" s="5">
        <v>280</v>
      </c>
      <c r="B282" s="5">
        <v>261280</v>
      </c>
      <c r="C282" s="7" t="s">
        <v>624</v>
      </c>
      <c r="D282" s="5">
        <v>60182744</v>
      </c>
      <c r="E282" s="5" t="s">
        <v>13</v>
      </c>
      <c r="F282" s="5"/>
      <c r="G282" s="5"/>
      <c r="H282" s="5"/>
      <c r="I282" s="6" t="s">
        <v>659</v>
      </c>
      <c r="J282" s="3" t="str">
        <f t="shared" si="4"/>
        <v>X</v>
      </c>
      <c r="K282">
        <v>30</v>
      </c>
      <c r="L282">
        <v>30</v>
      </c>
      <c r="M282" t="s">
        <v>41</v>
      </c>
      <c r="N282" t="s">
        <v>42</v>
      </c>
      <c r="O282" t="s">
        <v>258</v>
      </c>
      <c r="P282" t="s">
        <v>14</v>
      </c>
      <c r="Q282" t="s">
        <v>15</v>
      </c>
      <c r="R282" t="s">
        <v>21</v>
      </c>
      <c r="S282" t="s">
        <v>625</v>
      </c>
      <c r="T282" t="s">
        <v>18</v>
      </c>
      <c r="U282" t="s">
        <v>19</v>
      </c>
    </row>
    <row r="283" spans="1:21" x14ac:dyDescent="0.25">
      <c r="A283" s="5">
        <v>281</v>
      </c>
      <c r="B283" s="5">
        <v>261281</v>
      </c>
      <c r="C283" s="7" t="s">
        <v>626</v>
      </c>
      <c r="D283" s="5">
        <v>61753942</v>
      </c>
      <c r="E283" s="5" t="s">
        <v>37</v>
      </c>
      <c r="F283" s="5"/>
      <c r="G283" s="5"/>
      <c r="H283" s="5"/>
      <c r="I283" s="6" t="s">
        <v>659</v>
      </c>
      <c r="J283" s="3" t="str">
        <f t="shared" si="4"/>
        <v>X</v>
      </c>
      <c r="K283">
        <v>30</v>
      </c>
      <c r="L283">
        <v>30</v>
      </c>
      <c r="M283" t="s">
        <v>41</v>
      </c>
      <c r="N283" t="s">
        <v>42</v>
      </c>
      <c r="O283" t="s">
        <v>627</v>
      </c>
      <c r="P283" t="s">
        <v>41</v>
      </c>
      <c r="Q283" t="s">
        <v>42</v>
      </c>
      <c r="R283" t="s">
        <v>627</v>
      </c>
      <c r="S283" t="s">
        <v>628</v>
      </c>
      <c r="T283" t="s">
        <v>29</v>
      </c>
      <c r="U283" t="s">
        <v>19</v>
      </c>
    </row>
    <row r="284" spans="1:21" x14ac:dyDescent="0.25">
      <c r="A284" s="5">
        <v>282</v>
      </c>
      <c r="B284" s="5">
        <v>261282</v>
      </c>
      <c r="C284" s="7" t="s">
        <v>629</v>
      </c>
      <c r="D284" s="5">
        <v>61225663</v>
      </c>
      <c r="E284" s="5" t="s">
        <v>80</v>
      </c>
      <c r="F284" s="5"/>
      <c r="G284" s="5"/>
      <c r="H284" s="5"/>
      <c r="I284" s="6" t="s">
        <v>659</v>
      </c>
      <c r="J284" s="3" t="str">
        <f t="shared" si="4"/>
        <v>X</v>
      </c>
      <c r="K284">
        <v>30</v>
      </c>
      <c r="L284">
        <v>30</v>
      </c>
      <c r="M284" t="s">
        <v>14</v>
      </c>
      <c r="N284" t="s">
        <v>52</v>
      </c>
      <c r="O284" t="s">
        <v>630</v>
      </c>
      <c r="P284" t="s">
        <v>14</v>
      </c>
      <c r="Q284" t="s">
        <v>15</v>
      </c>
      <c r="R284" t="s">
        <v>110</v>
      </c>
      <c r="S284" t="s">
        <v>631</v>
      </c>
      <c r="T284" t="s">
        <v>29</v>
      </c>
      <c r="U284" t="s">
        <v>19</v>
      </c>
    </row>
    <row r="285" spans="1:21" x14ac:dyDescent="0.25">
      <c r="A285" s="5">
        <v>283</v>
      </c>
      <c r="B285" s="5">
        <v>261283</v>
      </c>
      <c r="C285" s="7" t="s">
        <v>632</v>
      </c>
      <c r="D285" s="5">
        <v>61518710</v>
      </c>
      <c r="E285" s="5" t="s">
        <v>113</v>
      </c>
      <c r="F285" s="5"/>
      <c r="G285" s="5"/>
      <c r="H285" s="5"/>
      <c r="I285" s="6" t="s">
        <v>658</v>
      </c>
      <c r="J285" s="3" t="str">
        <f t="shared" si="4"/>
        <v/>
      </c>
      <c r="M285" t="s">
        <v>14</v>
      </c>
      <c r="N285" t="s">
        <v>15</v>
      </c>
      <c r="O285" t="s">
        <v>16</v>
      </c>
      <c r="P285" t="s">
        <v>14</v>
      </c>
      <c r="Q285" t="s">
        <v>15</v>
      </c>
      <c r="R285" t="s">
        <v>16</v>
      </c>
      <c r="S285" t="s">
        <v>633</v>
      </c>
      <c r="T285" t="s">
        <v>29</v>
      </c>
      <c r="U285" t="s">
        <v>19</v>
      </c>
    </row>
    <row r="286" spans="1:21" x14ac:dyDescent="0.25">
      <c r="A286" s="5">
        <v>284</v>
      </c>
      <c r="B286" s="5">
        <v>261284</v>
      </c>
      <c r="C286" s="7" t="s">
        <v>634</v>
      </c>
      <c r="D286" s="5">
        <v>60383230</v>
      </c>
      <c r="E286" s="5" t="s">
        <v>13</v>
      </c>
      <c r="F286" s="5"/>
      <c r="G286" s="5"/>
      <c r="H286" s="5"/>
      <c r="I286" s="6" t="s">
        <v>659</v>
      </c>
      <c r="J286" s="3" t="str">
        <f t="shared" si="4"/>
        <v>X</v>
      </c>
      <c r="K286">
        <v>30</v>
      </c>
      <c r="L286">
        <v>30</v>
      </c>
      <c r="M286" t="s">
        <v>14</v>
      </c>
      <c r="N286" t="s">
        <v>15</v>
      </c>
      <c r="O286" t="s">
        <v>16</v>
      </c>
      <c r="P286" t="s">
        <v>14</v>
      </c>
      <c r="Q286" t="s">
        <v>15</v>
      </c>
      <c r="R286" t="s">
        <v>38</v>
      </c>
      <c r="S286" t="s">
        <v>635</v>
      </c>
      <c r="T286" t="s">
        <v>29</v>
      </c>
      <c r="U286" t="s">
        <v>19</v>
      </c>
    </row>
    <row r="287" spans="1:21" x14ac:dyDescent="0.25">
      <c r="A287" s="5">
        <v>285</v>
      </c>
      <c r="B287" s="5">
        <v>261285</v>
      </c>
      <c r="C287" s="7" t="s">
        <v>636</v>
      </c>
      <c r="D287" s="5">
        <v>74177742</v>
      </c>
      <c r="E287" s="5" t="s">
        <v>27</v>
      </c>
      <c r="F287" s="5"/>
      <c r="G287" s="5"/>
      <c r="H287" s="5"/>
      <c r="I287" s="6" t="s">
        <v>659</v>
      </c>
      <c r="J287" s="3" t="str">
        <f t="shared" si="4"/>
        <v>X</v>
      </c>
      <c r="K287">
        <v>30</v>
      </c>
      <c r="L287">
        <v>30</v>
      </c>
      <c r="M287" t="s">
        <v>14</v>
      </c>
      <c r="N287" t="s">
        <v>15</v>
      </c>
      <c r="O287" t="s">
        <v>96</v>
      </c>
      <c r="P287" t="s">
        <v>14</v>
      </c>
      <c r="Q287" t="s">
        <v>15</v>
      </c>
      <c r="R287" t="s">
        <v>96</v>
      </c>
      <c r="S287" t="s">
        <v>637</v>
      </c>
      <c r="T287" t="s">
        <v>29</v>
      </c>
      <c r="U287" t="s">
        <v>46</v>
      </c>
    </row>
    <row r="288" spans="1:21" x14ac:dyDescent="0.25">
      <c r="A288" s="5">
        <v>286</v>
      </c>
      <c r="B288" s="5">
        <v>261286</v>
      </c>
      <c r="C288" s="7" t="s">
        <v>638</v>
      </c>
      <c r="D288" s="5">
        <v>61779595</v>
      </c>
      <c r="E288" s="5" t="s">
        <v>113</v>
      </c>
      <c r="F288" s="5"/>
      <c r="G288" s="5"/>
      <c r="H288" s="5"/>
      <c r="I288" s="6" t="s">
        <v>659</v>
      </c>
      <c r="J288" s="3" t="str">
        <f t="shared" si="4"/>
        <v>X</v>
      </c>
      <c r="K288">
        <v>30</v>
      </c>
      <c r="L288">
        <v>30</v>
      </c>
      <c r="M288" t="s">
        <v>14</v>
      </c>
      <c r="N288" t="s">
        <v>15</v>
      </c>
      <c r="O288" t="s">
        <v>16</v>
      </c>
      <c r="P288" t="s">
        <v>14</v>
      </c>
      <c r="Q288" t="s">
        <v>15</v>
      </c>
      <c r="R288" t="s">
        <v>59</v>
      </c>
      <c r="S288" t="s">
        <v>639</v>
      </c>
      <c r="T288" t="s">
        <v>29</v>
      </c>
      <c r="U288" t="s">
        <v>19</v>
      </c>
    </row>
    <row r="289" spans="1:21" x14ac:dyDescent="0.25">
      <c r="A289" s="5">
        <v>287</v>
      </c>
      <c r="B289" s="5">
        <v>261287</v>
      </c>
      <c r="C289" s="7" t="s">
        <v>640</v>
      </c>
      <c r="D289" s="5">
        <v>61525820</v>
      </c>
      <c r="E289" s="5" t="s">
        <v>27</v>
      </c>
      <c r="F289" s="5"/>
      <c r="G289" s="5"/>
      <c r="H289" s="5"/>
      <c r="I289" s="6" t="s">
        <v>658</v>
      </c>
      <c r="J289" s="3" t="str">
        <f t="shared" si="4"/>
        <v/>
      </c>
      <c r="M289" t="s">
        <v>14</v>
      </c>
      <c r="N289" t="s">
        <v>15</v>
      </c>
      <c r="O289" t="s">
        <v>16</v>
      </c>
      <c r="P289" t="s">
        <v>14</v>
      </c>
      <c r="Q289" t="s">
        <v>15</v>
      </c>
      <c r="R289" t="s">
        <v>21</v>
      </c>
      <c r="S289" t="s">
        <v>315</v>
      </c>
      <c r="T289" t="s">
        <v>29</v>
      </c>
      <c r="U289" t="s">
        <v>19</v>
      </c>
    </row>
    <row r="290" spans="1:21" x14ac:dyDescent="0.25">
      <c r="A290" s="5">
        <v>288</v>
      </c>
      <c r="B290" s="5">
        <v>261288</v>
      </c>
      <c r="C290" s="7" t="s">
        <v>641</v>
      </c>
      <c r="D290" s="5">
        <v>93822919</v>
      </c>
      <c r="E290" s="5" t="s">
        <v>113</v>
      </c>
      <c r="F290" s="5"/>
      <c r="G290" s="5"/>
      <c r="H290" s="5"/>
      <c r="I290" s="6" t="s">
        <v>659</v>
      </c>
      <c r="J290" s="3" t="str">
        <f t="shared" si="4"/>
        <v>X</v>
      </c>
      <c r="K290">
        <v>30</v>
      </c>
      <c r="L290">
        <v>30</v>
      </c>
      <c r="M290" t="s">
        <v>14</v>
      </c>
      <c r="N290" t="s">
        <v>15</v>
      </c>
      <c r="O290" t="s">
        <v>21</v>
      </c>
      <c r="P290" t="s">
        <v>14</v>
      </c>
      <c r="Q290" t="s">
        <v>15</v>
      </c>
      <c r="R290" t="s">
        <v>21</v>
      </c>
      <c r="S290" t="s">
        <v>642</v>
      </c>
      <c r="T290" t="s">
        <v>29</v>
      </c>
      <c r="U290" t="s">
        <v>19</v>
      </c>
    </row>
    <row r="291" spans="1:21" x14ac:dyDescent="0.25">
      <c r="A291" s="5">
        <v>289</v>
      </c>
      <c r="B291" s="5">
        <v>261289</v>
      </c>
      <c r="C291" s="7" t="s">
        <v>643</v>
      </c>
      <c r="D291" s="5">
        <v>61347432</v>
      </c>
      <c r="E291" s="5" t="s">
        <v>27</v>
      </c>
      <c r="F291" s="5"/>
      <c r="G291" s="5"/>
      <c r="H291" s="5"/>
      <c r="I291" s="6" t="s">
        <v>659</v>
      </c>
      <c r="J291" s="3" t="str">
        <f t="shared" si="4"/>
        <v>X</v>
      </c>
      <c r="K291">
        <v>30</v>
      </c>
      <c r="L291">
        <v>30</v>
      </c>
      <c r="M291" t="s">
        <v>14</v>
      </c>
      <c r="N291" t="s">
        <v>15</v>
      </c>
      <c r="O291" t="s">
        <v>16</v>
      </c>
      <c r="P291" t="s">
        <v>14</v>
      </c>
      <c r="Q291" t="s">
        <v>15</v>
      </c>
      <c r="R291" t="s">
        <v>16</v>
      </c>
      <c r="S291" t="s">
        <v>644</v>
      </c>
      <c r="T291" t="s">
        <v>18</v>
      </c>
      <c r="U291" t="s">
        <v>19</v>
      </c>
    </row>
    <row r="292" spans="1:21" x14ac:dyDescent="0.25">
      <c r="A292" s="5">
        <v>290</v>
      </c>
      <c r="B292" s="5">
        <v>261290</v>
      </c>
      <c r="C292" s="7" t="s">
        <v>645</v>
      </c>
      <c r="D292" s="5">
        <v>62041295</v>
      </c>
      <c r="E292" s="5" t="s">
        <v>113</v>
      </c>
      <c r="F292" s="5"/>
      <c r="G292" s="5"/>
      <c r="H292" s="5"/>
      <c r="I292" s="6" t="s">
        <v>659</v>
      </c>
      <c r="J292" s="3" t="str">
        <f t="shared" si="4"/>
        <v>X</v>
      </c>
      <c r="K292">
        <v>30</v>
      </c>
      <c r="L292">
        <v>30</v>
      </c>
      <c r="M292" t="s">
        <v>14</v>
      </c>
      <c r="N292" t="s">
        <v>52</v>
      </c>
      <c r="O292" t="s">
        <v>14</v>
      </c>
      <c r="P292" t="s">
        <v>14</v>
      </c>
      <c r="Q292" t="s">
        <v>15</v>
      </c>
      <c r="R292" t="s">
        <v>21</v>
      </c>
      <c r="S292" t="s">
        <v>159</v>
      </c>
      <c r="T292" t="s">
        <v>29</v>
      </c>
      <c r="U292" t="s">
        <v>46</v>
      </c>
    </row>
    <row r="293" spans="1:21" x14ac:dyDescent="0.25">
      <c r="A293" s="5">
        <v>291</v>
      </c>
      <c r="B293" s="5">
        <v>261291</v>
      </c>
      <c r="C293" s="7" t="s">
        <v>646</v>
      </c>
      <c r="D293" s="5">
        <v>76729639</v>
      </c>
      <c r="E293" s="5" t="s">
        <v>27</v>
      </c>
      <c r="F293" s="5"/>
      <c r="G293" s="5"/>
      <c r="H293" s="5"/>
      <c r="I293" s="6" t="s">
        <v>659</v>
      </c>
      <c r="J293" s="3" t="str">
        <f t="shared" si="4"/>
        <v>X</v>
      </c>
      <c r="K293">
        <v>30</v>
      </c>
      <c r="L293">
        <v>30</v>
      </c>
      <c r="M293" t="s">
        <v>14</v>
      </c>
      <c r="N293" t="s">
        <v>15</v>
      </c>
      <c r="O293" t="s">
        <v>59</v>
      </c>
      <c r="P293" t="s">
        <v>14</v>
      </c>
      <c r="Q293" t="s">
        <v>15</v>
      </c>
      <c r="R293" t="s">
        <v>59</v>
      </c>
      <c r="S293" t="s">
        <v>647</v>
      </c>
      <c r="T293" t="s">
        <v>29</v>
      </c>
      <c r="U293" t="s">
        <v>19</v>
      </c>
    </row>
    <row r="294" spans="1:21" x14ac:dyDescent="0.25">
      <c r="A294" s="5">
        <v>292</v>
      </c>
      <c r="B294" s="5">
        <v>261292</v>
      </c>
      <c r="C294" s="7" t="s">
        <v>648</v>
      </c>
      <c r="D294" s="5">
        <v>61200065</v>
      </c>
      <c r="E294" s="5" t="s">
        <v>113</v>
      </c>
      <c r="F294" s="5"/>
      <c r="G294" s="5"/>
      <c r="H294" s="5"/>
      <c r="I294" s="6" t="s">
        <v>659</v>
      </c>
      <c r="J294" s="3" t="str">
        <f t="shared" si="4"/>
        <v/>
      </c>
      <c r="M294" t="s">
        <v>14</v>
      </c>
      <c r="N294" t="s">
        <v>15</v>
      </c>
      <c r="O294" t="s">
        <v>16</v>
      </c>
      <c r="P294" t="s">
        <v>14</v>
      </c>
      <c r="Q294" t="s">
        <v>15</v>
      </c>
      <c r="R294" t="s">
        <v>24</v>
      </c>
      <c r="S294" t="s">
        <v>495</v>
      </c>
      <c r="T294" t="s">
        <v>18</v>
      </c>
      <c r="U294" t="s">
        <v>19</v>
      </c>
    </row>
    <row r="295" spans="1:21" x14ac:dyDescent="0.25">
      <c r="A295" s="5">
        <v>293</v>
      </c>
      <c r="B295" s="5">
        <v>261293</v>
      </c>
      <c r="C295" s="7" t="s">
        <v>664</v>
      </c>
      <c r="D295" s="5">
        <v>60886739</v>
      </c>
      <c r="E295" s="5" t="s">
        <v>37</v>
      </c>
      <c r="F295" s="5"/>
      <c r="G295" s="5"/>
      <c r="H295" s="5"/>
      <c r="I295" s="6" t="s">
        <v>659</v>
      </c>
      <c r="J295" s="3" t="str">
        <f t="shared" si="4"/>
        <v>X</v>
      </c>
      <c r="K295">
        <v>30</v>
      </c>
      <c r="L295">
        <v>30</v>
      </c>
    </row>
    <row r="296" spans="1:21" x14ac:dyDescent="0.25">
      <c r="A296" s="5">
        <v>294</v>
      </c>
      <c r="B296" s="5">
        <v>261294</v>
      </c>
      <c r="C296" s="7" t="s">
        <v>665</v>
      </c>
      <c r="D296" s="5">
        <v>62739109</v>
      </c>
      <c r="E296" s="5" t="s">
        <v>27</v>
      </c>
      <c r="F296" s="5"/>
      <c r="G296" s="5"/>
      <c r="H296" s="5"/>
      <c r="I296" s="6" t="s">
        <v>659</v>
      </c>
      <c r="J296" s="3" t="str">
        <f t="shared" si="4"/>
        <v>X</v>
      </c>
      <c r="K296">
        <v>30</v>
      </c>
      <c r="L296">
        <v>30</v>
      </c>
    </row>
    <row r="297" spans="1:21" x14ac:dyDescent="0.25">
      <c r="G297" s="10" t="s">
        <v>660</v>
      </c>
      <c r="H297" s="11"/>
      <c r="I297" s="9">
        <f>COUNTIF(I3:I296,"X")</f>
        <v>236</v>
      </c>
    </row>
    <row r="298" spans="1:21" x14ac:dyDescent="0.25">
      <c r="G298" s="12" t="s">
        <v>660</v>
      </c>
      <c r="H298" s="12"/>
      <c r="I298" s="6">
        <f>COUNTIF(I3:I297,"")</f>
        <v>58</v>
      </c>
    </row>
  </sheetData>
  <autoFilter ref="A1:I298" xr:uid="{00000000-0001-0000-0000-000000000000}">
    <filterColumn colId="5" showButton="0"/>
  </autoFilter>
  <mergeCells count="10">
    <mergeCell ref="E1:E2"/>
    <mergeCell ref="D1:D2"/>
    <mergeCell ref="C1:C2"/>
    <mergeCell ref="B1:B2"/>
    <mergeCell ref="A1:A2"/>
    <mergeCell ref="G297:H297"/>
    <mergeCell ref="G298:H298"/>
    <mergeCell ref="H1:H2"/>
    <mergeCell ref="I1:I2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1D4CD-4010-4E27-AE86-BC520A9FD7C2}">
  <sheetPr codeName="Hoja2"/>
  <dimension ref="A1:I53"/>
  <sheetViews>
    <sheetView workbookViewId="0">
      <selection activeCell="I53" sqref="A1:I53"/>
    </sheetView>
  </sheetViews>
  <sheetFormatPr baseColWidth="10" defaultRowHeight="15" x14ac:dyDescent="0.25"/>
  <cols>
    <col min="1" max="1" width="4" style="2" bestFit="1" customWidth="1"/>
    <col min="2" max="2" width="8.7109375" style="2" customWidth="1"/>
    <col min="3" max="3" width="50" style="2" bestFit="1" customWidth="1"/>
    <col min="4" max="4" width="10" style="2" bestFit="1" customWidth="1"/>
    <col min="5" max="5" width="18.85546875" style="2" customWidth="1"/>
    <col min="6" max="6" width="6.140625" style="2" customWidth="1"/>
    <col min="7" max="7" width="6.140625" style="2" bestFit="1" customWidth="1"/>
    <col min="8" max="8" width="28.5703125" style="2" customWidth="1"/>
    <col min="9" max="9" width="5.42578125" style="3" customWidth="1"/>
  </cols>
  <sheetData>
    <row r="1" spans="1:9" x14ac:dyDescent="0.25">
      <c r="A1" s="15" t="s">
        <v>649</v>
      </c>
      <c r="B1" s="15" t="s">
        <v>650</v>
      </c>
      <c r="C1" s="15" t="s">
        <v>651</v>
      </c>
      <c r="D1" s="15" t="s">
        <v>0</v>
      </c>
      <c r="E1" s="15" t="s">
        <v>652</v>
      </c>
      <c r="F1" s="17" t="s">
        <v>663</v>
      </c>
      <c r="G1" s="17"/>
      <c r="H1" s="15" t="s">
        <v>656</v>
      </c>
      <c r="I1" s="16" t="s">
        <v>657</v>
      </c>
    </row>
    <row r="2" spans="1:9" x14ac:dyDescent="0.25">
      <c r="A2" s="15"/>
      <c r="B2" s="15"/>
      <c r="C2" s="15"/>
      <c r="D2" s="15"/>
      <c r="E2" s="15"/>
      <c r="F2" s="8" t="s">
        <v>661</v>
      </c>
      <c r="G2" s="8" t="s">
        <v>662</v>
      </c>
      <c r="H2" s="15"/>
      <c r="I2" s="16"/>
    </row>
    <row r="3" spans="1:9" x14ac:dyDescent="0.25">
      <c r="A3" s="5">
        <v>1</v>
      </c>
      <c r="B3" s="5">
        <v>261005</v>
      </c>
      <c r="C3" s="7" t="s">
        <v>30</v>
      </c>
      <c r="D3" s="5">
        <v>62335409</v>
      </c>
      <c r="E3" s="5" t="s">
        <v>13</v>
      </c>
      <c r="F3" s="5"/>
      <c r="G3" s="5"/>
      <c r="H3" s="5"/>
      <c r="I3" s="6" t="s">
        <v>658</v>
      </c>
    </row>
    <row r="4" spans="1:9" x14ac:dyDescent="0.25">
      <c r="A4" s="5">
        <v>2</v>
      </c>
      <c r="B4" s="5">
        <v>261029</v>
      </c>
      <c r="C4" s="7" t="s">
        <v>98</v>
      </c>
      <c r="D4" s="5">
        <v>62051902</v>
      </c>
      <c r="E4" s="5" t="s">
        <v>13</v>
      </c>
      <c r="F4" s="5"/>
      <c r="G4" s="5"/>
      <c r="H4" s="5"/>
      <c r="I4" s="6" t="s">
        <v>659</v>
      </c>
    </row>
    <row r="5" spans="1:9" x14ac:dyDescent="0.25">
      <c r="A5" s="5">
        <v>3</v>
      </c>
      <c r="B5" s="5">
        <v>261010</v>
      </c>
      <c r="C5" s="7" t="s">
        <v>49</v>
      </c>
      <c r="D5" s="5">
        <v>60677803</v>
      </c>
      <c r="E5" s="5" t="s">
        <v>13</v>
      </c>
      <c r="F5" s="5"/>
      <c r="G5" s="5"/>
      <c r="H5" s="5"/>
      <c r="I5" s="6" t="s">
        <v>658</v>
      </c>
    </row>
    <row r="6" spans="1:9" x14ac:dyDescent="0.25">
      <c r="A6" s="5">
        <v>4</v>
      </c>
      <c r="B6" s="5">
        <v>261159</v>
      </c>
      <c r="C6" s="7" t="s">
        <v>382</v>
      </c>
      <c r="D6" s="5">
        <v>620520798</v>
      </c>
      <c r="E6" s="5" t="s">
        <v>13</v>
      </c>
      <c r="F6" s="5"/>
      <c r="G6" s="5"/>
      <c r="H6" s="5"/>
      <c r="I6" s="6" t="s">
        <v>659</v>
      </c>
    </row>
    <row r="7" spans="1:9" x14ac:dyDescent="0.25">
      <c r="A7" s="5">
        <v>5</v>
      </c>
      <c r="B7" s="5">
        <v>261002</v>
      </c>
      <c r="C7" s="7" t="s">
        <v>20</v>
      </c>
      <c r="D7" s="5">
        <v>61389728</v>
      </c>
      <c r="E7" s="5" t="s">
        <v>13</v>
      </c>
      <c r="F7" s="5"/>
      <c r="G7" s="5"/>
      <c r="H7" s="5"/>
      <c r="I7" s="6" t="s">
        <v>658</v>
      </c>
    </row>
    <row r="8" spans="1:9" x14ac:dyDescent="0.25">
      <c r="A8" s="5">
        <v>6</v>
      </c>
      <c r="B8" s="5">
        <v>261192</v>
      </c>
      <c r="C8" s="7" t="s">
        <v>451</v>
      </c>
      <c r="D8" s="5">
        <v>76412206</v>
      </c>
      <c r="E8" s="5" t="s">
        <v>13</v>
      </c>
      <c r="F8" s="5"/>
      <c r="G8" s="5"/>
      <c r="H8" s="5"/>
      <c r="I8" s="6" t="s">
        <v>658</v>
      </c>
    </row>
    <row r="9" spans="1:9" x14ac:dyDescent="0.25">
      <c r="A9" s="5">
        <v>7</v>
      </c>
      <c r="B9" s="5">
        <v>261031</v>
      </c>
      <c r="C9" s="7" t="s">
        <v>102</v>
      </c>
      <c r="D9" s="5">
        <v>60197832</v>
      </c>
      <c r="E9" s="5" t="s">
        <v>13</v>
      </c>
      <c r="F9" s="5"/>
      <c r="G9" s="5"/>
      <c r="H9" s="5"/>
      <c r="I9" s="6" t="s">
        <v>659</v>
      </c>
    </row>
    <row r="10" spans="1:9" x14ac:dyDescent="0.25">
      <c r="A10" s="5">
        <v>8</v>
      </c>
      <c r="B10" s="5">
        <v>261146</v>
      </c>
      <c r="C10" s="7" t="s">
        <v>358</v>
      </c>
      <c r="D10" s="5">
        <v>72600153</v>
      </c>
      <c r="E10" s="5" t="s">
        <v>13</v>
      </c>
      <c r="F10" s="5"/>
      <c r="G10" s="5"/>
      <c r="H10" s="5"/>
      <c r="I10" s="6" t="s">
        <v>659</v>
      </c>
    </row>
    <row r="11" spans="1:9" x14ac:dyDescent="0.25">
      <c r="A11" s="5">
        <v>9</v>
      </c>
      <c r="B11" s="5">
        <v>261109</v>
      </c>
      <c r="C11" s="7" t="s">
        <v>280</v>
      </c>
      <c r="D11" s="5">
        <v>61779513</v>
      </c>
      <c r="E11" s="5" t="s">
        <v>13</v>
      </c>
      <c r="F11" s="5"/>
      <c r="G11" s="5"/>
      <c r="H11" s="5"/>
      <c r="I11" s="6" t="s">
        <v>659</v>
      </c>
    </row>
    <row r="12" spans="1:9" x14ac:dyDescent="0.25">
      <c r="A12" s="5">
        <v>10</v>
      </c>
      <c r="B12" s="5">
        <v>261265</v>
      </c>
      <c r="C12" s="7" t="s">
        <v>595</v>
      </c>
      <c r="D12" s="5">
        <v>60325820</v>
      </c>
      <c r="E12" s="5" t="s">
        <v>13</v>
      </c>
      <c r="F12" s="5"/>
      <c r="G12" s="5"/>
      <c r="H12" s="5"/>
      <c r="I12" s="6" t="s">
        <v>659</v>
      </c>
    </row>
    <row r="13" spans="1:9" x14ac:dyDescent="0.25">
      <c r="A13" s="5">
        <v>11</v>
      </c>
      <c r="B13" s="5">
        <v>261284</v>
      </c>
      <c r="C13" s="7" t="s">
        <v>634</v>
      </c>
      <c r="D13" s="5">
        <v>60383230</v>
      </c>
      <c r="E13" s="5" t="s">
        <v>13</v>
      </c>
      <c r="F13" s="5"/>
      <c r="G13" s="5"/>
      <c r="H13" s="5"/>
      <c r="I13" s="6" t="s">
        <v>659</v>
      </c>
    </row>
    <row r="14" spans="1:9" x14ac:dyDescent="0.25">
      <c r="A14" s="5">
        <v>12</v>
      </c>
      <c r="B14" s="5">
        <v>261199</v>
      </c>
      <c r="C14" s="7" t="s">
        <v>466</v>
      </c>
      <c r="D14" s="5">
        <v>77432569</v>
      </c>
      <c r="E14" s="5" t="s">
        <v>13</v>
      </c>
      <c r="F14" s="5"/>
      <c r="G14" s="5"/>
      <c r="H14" s="5"/>
      <c r="I14" s="6" t="s">
        <v>659</v>
      </c>
    </row>
    <row r="15" spans="1:9" x14ac:dyDescent="0.25">
      <c r="A15" s="5">
        <v>13</v>
      </c>
      <c r="B15" s="5">
        <v>261108</v>
      </c>
      <c r="C15" s="7" t="s">
        <v>278</v>
      </c>
      <c r="D15" s="5">
        <v>60669763</v>
      </c>
      <c r="E15" s="5" t="s">
        <v>13</v>
      </c>
      <c r="F15" s="5"/>
      <c r="G15" s="5"/>
      <c r="H15" s="5"/>
      <c r="I15" s="6" t="s">
        <v>659</v>
      </c>
    </row>
    <row r="16" spans="1:9" x14ac:dyDescent="0.25">
      <c r="A16" s="5">
        <v>14</v>
      </c>
      <c r="B16" s="5">
        <v>261189</v>
      </c>
      <c r="C16" s="7" t="s">
        <v>442</v>
      </c>
      <c r="D16" s="5">
        <v>61611461</v>
      </c>
      <c r="E16" s="5" t="s">
        <v>13</v>
      </c>
      <c r="F16" s="5"/>
      <c r="G16" s="5"/>
      <c r="H16" s="5"/>
      <c r="I16" s="6" t="s">
        <v>659</v>
      </c>
    </row>
    <row r="17" spans="1:9" x14ac:dyDescent="0.25">
      <c r="A17" s="5">
        <v>15</v>
      </c>
      <c r="B17" s="5">
        <v>261132</v>
      </c>
      <c r="C17" s="7" t="s">
        <v>325</v>
      </c>
      <c r="D17" s="5">
        <v>61363012</v>
      </c>
      <c r="E17" s="5" t="s">
        <v>13</v>
      </c>
      <c r="F17" s="5"/>
      <c r="G17" s="5"/>
      <c r="H17" s="5"/>
      <c r="I17" s="6" t="s">
        <v>659</v>
      </c>
    </row>
    <row r="18" spans="1:9" x14ac:dyDescent="0.25">
      <c r="A18" s="5">
        <v>16</v>
      </c>
      <c r="B18" s="5">
        <v>261191</v>
      </c>
      <c r="C18" s="7" t="s">
        <v>446</v>
      </c>
      <c r="D18" s="5">
        <v>61508631</v>
      </c>
      <c r="E18" s="5" t="s">
        <v>13</v>
      </c>
      <c r="F18" s="5"/>
      <c r="G18" s="5"/>
      <c r="H18" s="5"/>
      <c r="I18" s="6" t="s">
        <v>659</v>
      </c>
    </row>
    <row r="19" spans="1:9" x14ac:dyDescent="0.25">
      <c r="A19" s="5">
        <v>17</v>
      </c>
      <c r="B19" s="5">
        <v>261252</v>
      </c>
      <c r="C19" s="7" t="s">
        <v>572</v>
      </c>
      <c r="D19" s="5">
        <v>62051951</v>
      </c>
      <c r="E19" s="5" t="s">
        <v>13</v>
      </c>
      <c r="F19" s="5"/>
      <c r="G19" s="5"/>
      <c r="H19" s="5"/>
      <c r="I19" s="6" t="s">
        <v>659</v>
      </c>
    </row>
    <row r="20" spans="1:9" x14ac:dyDescent="0.25">
      <c r="A20" s="5">
        <v>18</v>
      </c>
      <c r="B20" s="5">
        <v>261003</v>
      </c>
      <c r="C20" s="7" t="s">
        <v>23</v>
      </c>
      <c r="D20" s="5">
        <v>62201769</v>
      </c>
      <c r="E20" s="5" t="s">
        <v>13</v>
      </c>
      <c r="F20" s="5"/>
      <c r="G20" s="5"/>
      <c r="H20" s="5"/>
      <c r="I20" s="6" t="s">
        <v>658</v>
      </c>
    </row>
    <row r="21" spans="1:9" x14ac:dyDescent="0.25">
      <c r="A21" s="5">
        <v>19</v>
      </c>
      <c r="B21" s="5">
        <v>261242</v>
      </c>
      <c r="C21" s="7" t="s">
        <v>553</v>
      </c>
      <c r="D21" s="5">
        <v>61858023</v>
      </c>
      <c r="E21" s="5" t="s">
        <v>13</v>
      </c>
      <c r="F21" s="5"/>
      <c r="G21" s="5"/>
      <c r="H21" s="5"/>
      <c r="I21" s="6" t="s">
        <v>658</v>
      </c>
    </row>
    <row r="22" spans="1:9" x14ac:dyDescent="0.25">
      <c r="A22" s="5">
        <v>20</v>
      </c>
      <c r="B22" s="5">
        <v>261008</v>
      </c>
      <c r="C22" s="7" t="s">
        <v>40</v>
      </c>
      <c r="D22" s="5">
        <v>62021127</v>
      </c>
      <c r="E22" s="5" t="s">
        <v>13</v>
      </c>
      <c r="F22" s="5"/>
      <c r="G22" s="5"/>
      <c r="H22" s="5"/>
      <c r="I22" s="6" t="s">
        <v>658</v>
      </c>
    </row>
    <row r="23" spans="1:9" x14ac:dyDescent="0.25">
      <c r="A23" s="5">
        <v>21</v>
      </c>
      <c r="B23" s="5">
        <v>261153</v>
      </c>
      <c r="C23" s="7" t="s">
        <v>370</v>
      </c>
      <c r="D23" s="5">
        <v>72984505</v>
      </c>
      <c r="E23" s="5" t="s">
        <v>13</v>
      </c>
      <c r="F23" s="5"/>
      <c r="G23" s="5"/>
      <c r="H23" s="5"/>
      <c r="I23" s="6" t="s">
        <v>659</v>
      </c>
    </row>
    <row r="24" spans="1:9" x14ac:dyDescent="0.25">
      <c r="A24" s="5">
        <v>22</v>
      </c>
      <c r="B24" s="5">
        <v>261136</v>
      </c>
      <c r="C24" s="7" t="s">
        <v>335</v>
      </c>
      <c r="D24" s="5">
        <v>71368032</v>
      </c>
      <c r="E24" s="5" t="s">
        <v>13</v>
      </c>
      <c r="F24" s="5"/>
      <c r="G24" s="5"/>
      <c r="H24" s="5"/>
      <c r="I24" s="6" t="s">
        <v>659</v>
      </c>
    </row>
    <row r="25" spans="1:9" x14ac:dyDescent="0.25">
      <c r="A25" s="5">
        <v>23</v>
      </c>
      <c r="B25" s="5">
        <v>261255</v>
      </c>
      <c r="C25" s="7" t="s">
        <v>577</v>
      </c>
      <c r="D25" s="5">
        <v>61487176</v>
      </c>
      <c r="E25" s="5" t="s">
        <v>13</v>
      </c>
      <c r="F25" s="5"/>
      <c r="G25" s="5"/>
      <c r="H25" s="5"/>
      <c r="I25" s="6" t="s">
        <v>659</v>
      </c>
    </row>
    <row r="26" spans="1:9" x14ac:dyDescent="0.25">
      <c r="A26" s="5">
        <v>24</v>
      </c>
      <c r="B26" s="5">
        <v>261015</v>
      </c>
      <c r="C26" s="7" t="s">
        <v>63</v>
      </c>
      <c r="D26" s="5">
        <v>61443676</v>
      </c>
      <c r="E26" s="5" t="s">
        <v>13</v>
      </c>
      <c r="F26" s="5"/>
      <c r="G26" s="5"/>
      <c r="H26" s="5"/>
      <c r="I26" s="6" t="s">
        <v>659</v>
      </c>
    </row>
    <row r="27" spans="1:9" x14ac:dyDescent="0.25">
      <c r="A27" s="5">
        <v>25</v>
      </c>
      <c r="B27" s="5">
        <v>261111</v>
      </c>
      <c r="C27" s="7" t="s">
        <v>284</v>
      </c>
      <c r="D27" s="5">
        <v>60301655</v>
      </c>
      <c r="E27" s="5" t="s">
        <v>13</v>
      </c>
      <c r="F27" s="5"/>
      <c r="G27" s="5"/>
      <c r="H27" s="5"/>
      <c r="I27" s="6" t="s">
        <v>659</v>
      </c>
    </row>
    <row r="28" spans="1:9" x14ac:dyDescent="0.25">
      <c r="A28" s="5">
        <v>26</v>
      </c>
      <c r="B28" s="5">
        <v>261110</v>
      </c>
      <c r="C28" s="7" t="s">
        <v>282</v>
      </c>
      <c r="D28" s="5">
        <v>61443781</v>
      </c>
      <c r="E28" s="5" t="s">
        <v>13</v>
      </c>
      <c r="F28" s="5"/>
      <c r="G28" s="5"/>
      <c r="H28" s="5"/>
      <c r="I28" s="6" t="s">
        <v>659</v>
      </c>
    </row>
    <row r="29" spans="1:9" x14ac:dyDescent="0.25">
      <c r="A29" s="5">
        <v>27</v>
      </c>
      <c r="B29" s="5">
        <v>261280</v>
      </c>
      <c r="C29" s="7" t="s">
        <v>624</v>
      </c>
      <c r="D29" s="5">
        <v>60182744</v>
      </c>
      <c r="E29" s="5" t="s">
        <v>13</v>
      </c>
      <c r="F29" s="5"/>
      <c r="G29" s="5"/>
      <c r="H29" s="5"/>
      <c r="I29" s="6" t="s">
        <v>659</v>
      </c>
    </row>
    <row r="30" spans="1:9" x14ac:dyDescent="0.25">
      <c r="A30" s="5">
        <v>28</v>
      </c>
      <c r="B30" s="5">
        <v>261063</v>
      </c>
      <c r="C30" s="7" t="s">
        <v>182</v>
      </c>
      <c r="D30" s="5">
        <v>61128429</v>
      </c>
      <c r="E30" s="5" t="s">
        <v>13</v>
      </c>
      <c r="F30" s="5"/>
      <c r="G30" s="5"/>
      <c r="H30" s="5"/>
      <c r="I30" s="6" t="s">
        <v>658</v>
      </c>
    </row>
    <row r="31" spans="1:9" x14ac:dyDescent="0.25">
      <c r="A31" s="5">
        <v>29</v>
      </c>
      <c r="B31" s="5">
        <v>261011</v>
      </c>
      <c r="C31" s="7" t="s">
        <v>51</v>
      </c>
      <c r="D31" s="5">
        <v>61527939</v>
      </c>
      <c r="E31" s="5" t="s">
        <v>13</v>
      </c>
      <c r="F31" s="5"/>
      <c r="G31" s="5"/>
      <c r="H31" s="5"/>
      <c r="I31" s="6" t="s">
        <v>658</v>
      </c>
    </row>
    <row r="32" spans="1:9" x14ac:dyDescent="0.25">
      <c r="A32" s="5">
        <v>30</v>
      </c>
      <c r="B32" s="5">
        <v>261278</v>
      </c>
      <c r="C32" s="7" t="s">
        <v>621</v>
      </c>
      <c r="D32" s="5">
        <v>61199822</v>
      </c>
      <c r="E32" s="5" t="s">
        <v>13</v>
      </c>
      <c r="F32" s="5"/>
      <c r="G32" s="5"/>
      <c r="H32" s="5"/>
      <c r="I32" s="6" t="s">
        <v>658</v>
      </c>
    </row>
    <row r="33" spans="1:9" x14ac:dyDescent="0.25">
      <c r="A33" s="5">
        <v>31</v>
      </c>
      <c r="B33" s="5">
        <v>261062</v>
      </c>
      <c r="C33" s="7" t="s">
        <v>179</v>
      </c>
      <c r="D33" s="5">
        <v>61582616</v>
      </c>
      <c r="E33" s="5" t="s">
        <v>13</v>
      </c>
      <c r="F33" s="5"/>
      <c r="G33" s="5"/>
      <c r="H33" s="5"/>
      <c r="I33" s="6" t="s">
        <v>659</v>
      </c>
    </row>
    <row r="34" spans="1:9" x14ac:dyDescent="0.25">
      <c r="A34" s="5">
        <v>32</v>
      </c>
      <c r="B34" s="5">
        <v>261094</v>
      </c>
      <c r="C34" s="7" t="s">
        <v>250</v>
      </c>
      <c r="D34" s="5">
        <v>61347489</v>
      </c>
      <c r="E34" s="5" t="s">
        <v>13</v>
      </c>
      <c r="F34" s="5"/>
      <c r="G34" s="5"/>
      <c r="H34" s="5"/>
      <c r="I34" s="6" t="s">
        <v>659</v>
      </c>
    </row>
    <row r="35" spans="1:9" x14ac:dyDescent="0.25">
      <c r="A35" s="5">
        <v>33</v>
      </c>
      <c r="B35" s="5">
        <v>261180</v>
      </c>
      <c r="C35" s="7" t="s">
        <v>428</v>
      </c>
      <c r="D35" s="5">
        <v>62051912</v>
      </c>
      <c r="E35" s="5" t="s">
        <v>13</v>
      </c>
      <c r="F35" s="5"/>
      <c r="G35" s="5"/>
      <c r="H35" s="5"/>
      <c r="I35" s="6" t="s">
        <v>659</v>
      </c>
    </row>
    <row r="36" spans="1:9" x14ac:dyDescent="0.25">
      <c r="A36" s="5">
        <v>34</v>
      </c>
      <c r="B36" s="5">
        <v>261273</v>
      </c>
      <c r="C36" s="7" t="s">
        <v>610</v>
      </c>
      <c r="D36" s="5">
        <v>73828951</v>
      </c>
      <c r="E36" s="5" t="s">
        <v>13</v>
      </c>
      <c r="F36" s="5"/>
      <c r="G36" s="5"/>
      <c r="H36" s="5"/>
      <c r="I36" s="6" t="s">
        <v>659</v>
      </c>
    </row>
    <row r="37" spans="1:9" x14ac:dyDescent="0.25">
      <c r="A37" s="5">
        <v>35</v>
      </c>
      <c r="B37" s="5">
        <v>261143</v>
      </c>
      <c r="C37" s="7" t="s">
        <v>348</v>
      </c>
      <c r="D37" s="5">
        <v>75917240</v>
      </c>
      <c r="E37" s="5" t="s">
        <v>13</v>
      </c>
      <c r="F37" s="5"/>
      <c r="G37" s="5"/>
      <c r="H37" s="5"/>
      <c r="I37" s="6" t="s">
        <v>658</v>
      </c>
    </row>
    <row r="38" spans="1:9" x14ac:dyDescent="0.25">
      <c r="A38" s="5">
        <v>36</v>
      </c>
      <c r="B38" s="5">
        <v>261127</v>
      </c>
      <c r="C38" s="7" t="s">
        <v>316</v>
      </c>
      <c r="D38" s="5">
        <v>61443796</v>
      </c>
      <c r="E38" s="5" t="s">
        <v>13</v>
      </c>
      <c r="F38" s="5"/>
      <c r="G38" s="5"/>
      <c r="H38" s="5"/>
      <c r="I38" s="6" t="s">
        <v>659</v>
      </c>
    </row>
    <row r="39" spans="1:9" x14ac:dyDescent="0.25">
      <c r="A39" s="5">
        <v>37</v>
      </c>
      <c r="B39" s="5">
        <v>261200</v>
      </c>
      <c r="C39" s="7" t="s">
        <v>467</v>
      </c>
      <c r="D39" s="5">
        <v>62836938</v>
      </c>
      <c r="E39" s="5" t="s">
        <v>13</v>
      </c>
      <c r="F39" s="5"/>
      <c r="G39" s="5"/>
      <c r="H39" s="5"/>
      <c r="I39" s="6" t="s">
        <v>658</v>
      </c>
    </row>
    <row r="40" spans="1:9" x14ac:dyDescent="0.25">
      <c r="A40" s="5">
        <v>38</v>
      </c>
      <c r="B40" s="5">
        <v>261013</v>
      </c>
      <c r="C40" s="7" t="s">
        <v>57</v>
      </c>
      <c r="D40" s="5">
        <v>76954677</v>
      </c>
      <c r="E40" s="5" t="s">
        <v>13</v>
      </c>
      <c r="F40" s="5"/>
      <c r="G40" s="5"/>
      <c r="H40" s="5"/>
      <c r="I40" s="6" t="s">
        <v>658</v>
      </c>
    </row>
    <row r="41" spans="1:9" x14ac:dyDescent="0.25">
      <c r="A41" s="5">
        <v>39</v>
      </c>
      <c r="B41" s="5">
        <v>261060</v>
      </c>
      <c r="C41" s="7" t="s">
        <v>175</v>
      </c>
      <c r="D41" s="5">
        <v>60745153</v>
      </c>
      <c r="E41" s="5" t="s">
        <v>13</v>
      </c>
      <c r="F41" s="5"/>
      <c r="G41" s="5"/>
      <c r="H41" s="5"/>
      <c r="I41" s="6" t="s">
        <v>659</v>
      </c>
    </row>
    <row r="42" spans="1:9" x14ac:dyDescent="0.25">
      <c r="A42" s="5">
        <v>40</v>
      </c>
      <c r="B42" s="5">
        <v>261075</v>
      </c>
      <c r="C42" s="7" t="s">
        <v>213</v>
      </c>
      <c r="D42" s="5">
        <v>62051734</v>
      </c>
      <c r="E42" s="5" t="s">
        <v>13</v>
      </c>
      <c r="F42" s="5"/>
      <c r="G42" s="5"/>
      <c r="H42" s="5"/>
      <c r="I42" s="6" t="s">
        <v>659</v>
      </c>
    </row>
    <row r="43" spans="1:9" x14ac:dyDescent="0.25">
      <c r="A43" s="5">
        <v>41</v>
      </c>
      <c r="B43" s="5">
        <v>261196</v>
      </c>
      <c r="C43" s="7" t="s">
        <v>462</v>
      </c>
      <c r="D43" s="5">
        <v>61309438</v>
      </c>
      <c r="E43" s="5" t="s">
        <v>13</v>
      </c>
      <c r="F43" s="5"/>
      <c r="G43" s="5"/>
      <c r="H43" s="5"/>
      <c r="I43" s="6" t="s">
        <v>659</v>
      </c>
    </row>
    <row r="44" spans="1:9" x14ac:dyDescent="0.25">
      <c r="A44" s="5">
        <v>42</v>
      </c>
      <c r="B44" s="5">
        <v>261061</v>
      </c>
      <c r="C44" s="7" t="s">
        <v>177</v>
      </c>
      <c r="D44" s="5">
        <v>60618634</v>
      </c>
      <c r="E44" s="5" t="s">
        <v>13</v>
      </c>
      <c r="F44" s="5"/>
      <c r="G44" s="5"/>
      <c r="H44" s="5"/>
      <c r="I44" s="6" t="s">
        <v>658</v>
      </c>
    </row>
    <row r="45" spans="1:9" x14ac:dyDescent="0.25">
      <c r="A45" s="5">
        <v>43</v>
      </c>
      <c r="B45" s="5">
        <v>261030</v>
      </c>
      <c r="C45" s="7" t="s">
        <v>100</v>
      </c>
      <c r="D45" s="5">
        <v>61525905</v>
      </c>
      <c r="E45" s="5" t="s">
        <v>13</v>
      </c>
      <c r="F45" s="5"/>
      <c r="G45" s="5"/>
      <c r="H45" s="5"/>
      <c r="I45" s="6" t="s">
        <v>659</v>
      </c>
    </row>
    <row r="46" spans="1:9" x14ac:dyDescent="0.25">
      <c r="A46" s="5">
        <v>44</v>
      </c>
      <c r="B46" s="5">
        <v>261103</v>
      </c>
      <c r="C46" s="7" t="s">
        <v>268</v>
      </c>
      <c r="D46" s="5">
        <v>61525826</v>
      </c>
      <c r="E46" s="5" t="s">
        <v>13</v>
      </c>
      <c r="F46" s="5"/>
      <c r="G46" s="5"/>
      <c r="H46" s="5"/>
      <c r="I46" s="6" t="s">
        <v>658</v>
      </c>
    </row>
    <row r="47" spans="1:9" x14ac:dyDescent="0.25">
      <c r="A47" s="5">
        <v>45</v>
      </c>
      <c r="B47" s="5">
        <v>261193</v>
      </c>
      <c r="C47" s="7" t="s">
        <v>453</v>
      </c>
      <c r="D47" s="5">
        <v>72346804</v>
      </c>
      <c r="E47" s="5" t="s">
        <v>13</v>
      </c>
      <c r="F47" s="5"/>
      <c r="G47" s="5"/>
      <c r="H47" s="5"/>
      <c r="I47" s="6" t="s">
        <v>658</v>
      </c>
    </row>
    <row r="48" spans="1:9" x14ac:dyDescent="0.25">
      <c r="A48" s="5">
        <v>46</v>
      </c>
      <c r="B48" s="5">
        <v>261017</v>
      </c>
      <c r="C48" s="7" t="s">
        <v>67</v>
      </c>
      <c r="D48" s="5">
        <v>73554929</v>
      </c>
      <c r="E48" s="5" t="s">
        <v>13</v>
      </c>
      <c r="F48" s="5"/>
      <c r="G48" s="5"/>
      <c r="H48" s="5"/>
      <c r="I48" s="6" t="s">
        <v>658</v>
      </c>
    </row>
    <row r="49" spans="1:9" x14ac:dyDescent="0.25">
      <c r="A49" s="5">
        <v>47</v>
      </c>
      <c r="B49" s="5">
        <v>261104</v>
      </c>
      <c r="C49" s="7" t="s">
        <v>270</v>
      </c>
      <c r="D49" s="5">
        <v>62021116</v>
      </c>
      <c r="E49" s="5" t="s">
        <v>13</v>
      </c>
      <c r="F49" s="5"/>
      <c r="G49" s="5"/>
      <c r="H49" s="5"/>
      <c r="I49" s="6" t="s">
        <v>659</v>
      </c>
    </row>
    <row r="50" spans="1:9" x14ac:dyDescent="0.25">
      <c r="A50" s="5">
        <v>48</v>
      </c>
      <c r="B50" s="5">
        <v>261012</v>
      </c>
      <c r="C50" s="7" t="s">
        <v>55</v>
      </c>
      <c r="D50" s="5">
        <v>61431968</v>
      </c>
      <c r="E50" s="5" t="s">
        <v>13</v>
      </c>
      <c r="F50" s="5"/>
      <c r="G50" s="5"/>
      <c r="H50" s="5"/>
      <c r="I50" s="6" t="s">
        <v>658</v>
      </c>
    </row>
    <row r="51" spans="1:9" x14ac:dyDescent="0.25">
      <c r="A51" s="5">
        <v>49</v>
      </c>
      <c r="B51" s="5">
        <v>261165</v>
      </c>
      <c r="C51" s="7" t="s">
        <v>395</v>
      </c>
      <c r="D51" s="5">
        <v>60571932</v>
      </c>
      <c r="E51" s="5" t="s">
        <v>13</v>
      </c>
      <c r="F51" s="5"/>
      <c r="G51" s="5"/>
      <c r="H51" s="5"/>
      <c r="I51" s="6" t="s">
        <v>659</v>
      </c>
    </row>
    <row r="52" spans="1:9" x14ac:dyDescent="0.25">
      <c r="A52" s="5">
        <v>50</v>
      </c>
      <c r="B52" s="5">
        <v>261001</v>
      </c>
      <c r="C52" s="7" t="s">
        <v>12</v>
      </c>
      <c r="D52" s="5">
        <v>61249198</v>
      </c>
      <c r="E52" s="5" t="s">
        <v>13</v>
      </c>
      <c r="F52" s="5"/>
      <c r="G52" s="5"/>
      <c r="H52" s="5"/>
      <c r="I52" s="6" t="s">
        <v>658</v>
      </c>
    </row>
    <row r="53" spans="1:9" x14ac:dyDescent="0.25">
      <c r="A53" s="5">
        <v>51</v>
      </c>
      <c r="B53" s="5">
        <v>261216</v>
      </c>
      <c r="C53" s="7" t="s">
        <v>501</v>
      </c>
      <c r="D53" s="5">
        <v>61376445</v>
      </c>
      <c r="E53" s="5" t="s">
        <v>13</v>
      </c>
      <c r="F53" s="5"/>
      <c r="G53" s="5"/>
      <c r="H53" s="5"/>
      <c r="I53" s="6" t="s">
        <v>659</v>
      </c>
    </row>
  </sheetData>
  <autoFilter ref="A1:I53" xr:uid="{EAF1D4CD-4010-4E27-AE86-BC520A9FD7C2}">
    <filterColumn colId="5" showButton="0"/>
    <sortState xmlns:xlrd2="http://schemas.microsoft.com/office/spreadsheetml/2017/richdata2" ref="A4:I53">
      <sortCondition ref="C1:C53"/>
    </sortState>
  </autoFilter>
  <mergeCells count="8">
    <mergeCell ref="H1:H2"/>
    <mergeCell ref="I1:I2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E11BC-EAA3-4F65-96AE-F00857201D3C}">
  <sheetPr codeName="Hoja3"/>
  <dimension ref="A1:I52"/>
  <sheetViews>
    <sheetView workbookViewId="0">
      <selection activeCell="I52" sqref="A1:I52"/>
    </sheetView>
  </sheetViews>
  <sheetFormatPr baseColWidth="10" defaultRowHeight="15" x14ac:dyDescent="0.25"/>
  <cols>
    <col min="1" max="1" width="4" style="2" bestFit="1" customWidth="1"/>
    <col min="2" max="2" width="8.7109375" style="2" customWidth="1"/>
    <col min="3" max="3" width="50" style="2" bestFit="1" customWidth="1"/>
    <col min="4" max="4" width="10" style="2" bestFit="1" customWidth="1"/>
    <col min="5" max="5" width="18.85546875" style="2" customWidth="1"/>
    <col min="6" max="6" width="6.140625" style="2" customWidth="1"/>
    <col min="7" max="7" width="6.140625" style="2" bestFit="1" customWidth="1"/>
    <col min="8" max="8" width="28.5703125" style="2" customWidth="1"/>
    <col min="9" max="9" width="5.42578125" style="3" customWidth="1"/>
  </cols>
  <sheetData>
    <row r="1" spans="1:9" ht="15" customHeight="1" x14ac:dyDescent="0.25">
      <c r="A1" s="15" t="s">
        <v>649</v>
      </c>
      <c r="B1" s="15" t="s">
        <v>650</v>
      </c>
      <c r="C1" s="15" t="s">
        <v>651</v>
      </c>
      <c r="D1" s="15" t="s">
        <v>0</v>
      </c>
      <c r="E1" s="15" t="s">
        <v>652</v>
      </c>
      <c r="F1" s="17" t="s">
        <v>663</v>
      </c>
      <c r="G1" s="17"/>
      <c r="H1" s="15" t="s">
        <v>656</v>
      </c>
      <c r="I1" s="18" t="s">
        <v>657</v>
      </c>
    </row>
    <row r="2" spans="1:9" ht="15" customHeight="1" x14ac:dyDescent="0.25">
      <c r="A2" s="15"/>
      <c r="B2" s="15"/>
      <c r="C2" s="15"/>
      <c r="D2" s="15"/>
      <c r="E2" s="15"/>
      <c r="F2" s="8" t="s">
        <v>661</v>
      </c>
      <c r="G2" s="8" t="s">
        <v>662</v>
      </c>
      <c r="H2" s="15"/>
      <c r="I2" s="19"/>
    </row>
    <row r="3" spans="1:9" x14ac:dyDescent="0.25">
      <c r="A3" s="5">
        <v>1</v>
      </c>
      <c r="B3" s="5">
        <v>261166</v>
      </c>
      <c r="C3" s="7" t="s">
        <v>397</v>
      </c>
      <c r="D3" s="5">
        <v>61443835</v>
      </c>
      <c r="E3" s="5" t="s">
        <v>71</v>
      </c>
      <c r="F3" s="5"/>
      <c r="G3" s="5"/>
      <c r="H3" s="5"/>
      <c r="I3" s="6" t="s">
        <v>659</v>
      </c>
    </row>
    <row r="4" spans="1:9" x14ac:dyDescent="0.25">
      <c r="A4" s="5">
        <v>2</v>
      </c>
      <c r="B4" s="5">
        <v>261257</v>
      </c>
      <c r="C4" s="7" t="s">
        <v>581</v>
      </c>
      <c r="D4" s="5">
        <v>61526080</v>
      </c>
      <c r="E4" s="5" t="s">
        <v>71</v>
      </c>
      <c r="F4" s="5"/>
      <c r="G4" s="5"/>
      <c r="H4" s="5"/>
      <c r="I4" s="6" t="s">
        <v>658</v>
      </c>
    </row>
    <row r="5" spans="1:9" x14ac:dyDescent="0.25">
      <c r="A5" s="5">
        <v>3</v>
      </c>
      <c r="B5" s="5">
        <v>261113</v>
      </c>
      <c r="C5" s="7" t="s">
        <v>288</v>
      </c>
      <c r="D5" s="5">
        <v>61443725</v>
      </c>
      <c r="E5" s="5" t="s">
        <v>71</v>
      </c>
      <c r="F5" s="5"/>
      <c r="G5" s="5"/>
      <c r="H5" s="5"/>
      <c r="I5" s="6" t="s">
        <v>659</v>
      </c>
    </row>
    <row r="6" spans="1:9" x14ac:dyDescent="0.25">
      <c r="A6" s="5">
        <v>4</v>
      </c>
      <c r="B6" s="5">
        <v>261042</v>
      </c>
      <c r="C6" s="7" t="s">
        <v>131</v>
      </c>
      <c r="D6" s="5">
        <v>62041231</v>
      </c>
      <c r="E6" s="5" t="s">
        <v>71</v>
      </c>
      <c r="F6" s="5"/>
      <c r="G6" s="5"/>
      <c r="H6" s="5"/>
      <c r="I6" s="6" t="s">
        <v>659</v>
      </c>
    </row>
    <row r="7" spans="1:9" x14ac:dyDescent="0.25">
      <c r="A7" s="5">
        <v>5</v>
      </c>
      <c r="B7" s="5">
        <v>261051</v>
      </c>
      <c r="C7" s="7" t="s">
        <v>153</v>
      </c>
      <c r="D7" s="5">
        <v>74030917</v>
      </c>
      <c r="E7" s="5" t="s">
        <v>71</v>
      </c>
      <c r="F7" s="5"/>
      <c r="G7" s="5"/>
      <c r="H7" s="5"/>
      <c r="I7" s="6" t="s">
        <v>659</v>
      </c>
    </row>
    <row r="8" spans="1:9" x14ac:dyDescent="0.25">
      <c r="A8" s="5">
        <v>6</v>
      </c>
      <c r="B8" s="5">
        <v>261175</v>
      </c>
      <c r="C8" s="7" t="s">
        <v>415</v>
      </c>
      <c r="D8" s="5">
        <v>60672501</v>
      </c>
      <c r="E8" s="5" t="s">
        <v>71</v>
      </c>
      <c r="F8" s="5"/>
      <c r="G8" s="5"/>
      <c r="H8" s="5"/>
      <c r="I8" s="6" t="s">
        <v>658</v>
      </c>
    </row>
    <row r="9" spans="1:9" x14ac:dyDescent="0.25">
      <c r="A9" s="5">
        <v>7</v>
      </c>
      <c r="B9" s="5">
        <v>261102</v>
      </c>
      <c r="C9" s="7" t="s">
        <v>266</v>
      </c>
      <c r="D9" s="5">
        <v>61648425</v>
      </c>
      <c r="E9" s="5" t="s">
        <v>71</v>
      </c>
      <c r="F9" s="5"/>
      <c r="G9" s="5"/>
      <c r="H9" s="5"/>
      <c r="I9" s="6" t="s">
        <v>659</v>
      </c>
    </row>
    <row r="10" spans="1:9" x14ac:dyDescent="0.25">
      <c r="A10" s="5">
        <v>8</v>
      </c>
      <c r="B10" s="5">
        <v>261099</v>
      </c>
      <c r="C10" s="7" t="s">
        <v>261</v>
      </c>
      <c r="D10" s="5">
        <v>61518608</v>
      </c>
      <c r="E10" s="5" t="s">
        <v>71</v>
      </c>
      <c r="F10" s="5"/>
      <c r="G10" s="5"/>
      <c r="H10" s="5"/>
      <c r="I10" s="6" t="s">
        <v>659</v>
      </c>
    </row>
    <row r="11" spans="1:9" x14ac:dyDescent="0.25">
      <c r="A11" s="5">
        <v>9</v>
      </c>
      <c r="B11" s="5">
        <v>261198</v>
      </c>
      <c r="C11" s="7" t="s">
        <v>465</v>
      </c>
      <c r="D11" s="5">
        <v>61507579</v>
      </c>
      <c r="E11" s="5" t="s">
        <v>71</v>
      </c>
      <c r="F11" s="5"/>
      <c r="G11" s="5"/>
      <c r="H11" s="5"/>
      <c r="I11" s="6" t="s">
        <v>659</v>
      </c>
    </row>
    <row r="12" spans="1:9" x14ac:dyDescent="0.25">
      <c r="A12" s="5">
        <v>10</v>
      </c>
      <c r="B12" s="5">
        <v>261253</v>
      </c>
      <c r="C12" s="7" t="s">
        <v>574</v>
      </c>
      <c r="D12" s="5">
        <v>61443401</v>
      </c>
      <c r="E12" s="5" t="s">
        <v>71</v>
      </c>
      <c r="F12" s="5"/>
      <c r="G12" s="5"/>
      <c r="H12" s="5"/>
      <c r="I12" s="6" t="s">
        <v>659</v>
      </c>
    </row>
    <row r="13" spans="1:9" x14ac:dyDescent="0.25">
      <c r="A13" s="5">
        <v>11</v>
      </c>
      <c r="B13" s="5">
        <v>261117</v>
      </c>
      <c r="C13" s="7" t="s">
        <v>295</v>
      </c>
      <c r="D13" s="5">
        <v>70396532</v>
      </c>
      <c r="E13" s="5" t="s">
        <v>71</v>
      </c>
      <c r="F13" s="5"/>
      <c r="G13" s="5"/>
      <c r="H13" s="5"/>
      <c r="I13" s="6" t="s">
        <v>659</v>
      </c>
    </row>
    <row r="14" spans="1:9" x14ac:dyDescent="0.25">
      <c r="A14" s="5">
        <v>12</v>
      </c>
      <c r="B14" s="5">
        <v>261266</v>
      </c>
      <c r="C14" s="7" t="s">
        <v>597</v>
      </c>
      <c r="D14" s="5">
        <v>62186179</v>
      </c>
      <c r="E14" s="5" t="s">
        <v>71</v>
      </c>
      <c r="F14" s="5"/>
      <c r="G14" s="5"/>
      <c r="H14" s="5"/>
      <c r="I14" s="6" t="s">
        <v>659</v>
      </c>
    </row>
    <row r="15" spans="1:9" x14ac:dyDescent="0.25">
      <c r="A15" s="5">
        <v>13</v>
      </c>
      <c r="B15" s="5">
        <v>261241</v>
      </c>
      <c r="C15" s="7" t="s">
        <v>551</v>
      </c>
      <c r="D15" s="5">
        <v>60822287</v>
      </c>
      <c r="E15" s="5" t="s">
        <v>71</v>
      </c>
      <c r="F15" s="5"/>
      <c r="G15" s="5"/>
      <c r="H15" s="5"/>
      <c r="I15" s="6" t="s">
        <v>659</v>
      </c>
    </row>
    <row r="16" spans="1:9" x14ac:dyDescent="0.25">
      <c r="A16" s="5">
        <v>14</v>
      </c>
      <c r="B16" s="5">
        <v>261155</v>
      </c>
      <c r="C16" s="7" t="s">
        <v>373</v>
      </c>
      <c r="D16" s="5">
        <v>60618633</v>
      </c>
      <c r="E16" s="5" t="s">
        <v>71</v>
      </c>
      <c r="F16" s="5"/>
      <c r="G16" s="5"/>
      <c r="H16" s="5"/>
      <c r="I16" s="6" t="s">
        <v>658</v>
      </c>
    </row>
    <row r="17" spans="1:9" x14ac:dyDescent="0.25">
      <c r="A17" s="5">
        <v>15</v>
      </c>
      <c r="B17" s="5">
        <v>261125</v>
      </c>
      <c r="C17" s="7" t="s">
        <v>312</v>
      </c>
      <c r="D17" s="5">
        <v>61526014</v>
      </c>
      <c r="E17" s="5" t="s">
        <v>71</v>
      </c>
      <c r="F17" s="5"/>
      <c r="G17" s="5"/>
      <c r="H17" s="5"/>
      <c r="I17" s="6" t="s">
        <v>659</v>
      </c>
    </row>
    <row r="18" spans="1:9" x14ac:dyDescent="0.25">
      <c r="A18" s="5">
        <v>16</v>
      </c>
      <c r="B18" s="5">
        <v>261115</v>
      </c>
      <c r="C18" s="7" t="s">
        <v>292</v>
      </c>
      <c r="D18" s="5">
        <v>62051919</v>
      </c>
      <c r="E18" s="5" t="s">
        <v>71</v>
      </c>
      <c r="F18" s="5"/>
      <c r="G18" s="5"/>
      <c r="H18" s="5"/>
      <c r="I18" s="6" t="s">
        <v>658</v>
      </c>
    </row>
    <row r="19" spans="1:9" x14ac:dyDescent="0.25">
      <c r="A19" s="5">
        <v>17</v>
      </c>
      <c r="B19" s="5">
        <v>261048</v>
      </c>
      <c r="C19" s="7" t="s">
        <v>143</v>
      </c>
      <c r="D19" s="5">
        <v>71672136</v>
      </c>
      <c r="E19" s="5" t="s">
        <v>71</v>
      </c>
      <c r="F19" s="5"/>
      <c r="G19" s="5"/>
      <c r="H19" s="5"/>
      <c r="I19" s="6" t="s">
        <v>659</v>
      </c>
    </row>
    <row r="20" spans="1:9" x14ac:dyDescent="0.25">
      <c r="A20" s="5">
        <v>18</v>
      </c>
      <c r="B20" s="5">
        <v>261038</v>
      </c>
      <c r="C20" s="7" t="s">
        <v>122</v>
      </c>
      <c r="D20" s="5">
        <v>62041281</v>
      </c>
      <c r="E20" s="5" t="s">
        <v>71</v>
      </c>
      <c r="F20" s="5"/>
      <c r="G20" s="5"/>
      <c r="H20" s="5"/>
      <c r="I20" s="6" t="s">
        <v>659</v>
      </c>
    </row>
    <row r="21" spans="1:9" x14ac:dyDescent="0.25">
      <c r="A21" s="5">
        <v>19</v>
      </c>
      <c r="B21" s="5">
        <v>261268</v>
      </c>
      <c r="C21" s="7" t="s">
        <v>601</v>
      </c>
      <c r="D21" s="5">
        <v>61389422</v>
      </c>
      <c r="E21" s="5" t="s">
        <v>71</v>
      </c>
      <c r="F21" s="5"/>
      <c r="G21" s="5"/>
      <c r="H21" s="5"/>
      <c r="I21" s="6" t="s">
        <v>659</v>
      </c>
    </row>
    <row r="22" spans="1:9" x14ac:dyDescent="0.25">
      <c r="A22" s="5">
        <v>20</v>
      </c>
      <c r="B22" s="5">
        <v>261074</v>
      </c>
      <c r="C22" s="7" t="s">
        <v>211</v>
      </c>
      <c r="D22" s="5">
        <v>62051987</v>
      </c>
      <c r="E22" s="5" t="s">
        <v>71</v>
      </c>
      <c r="F22" s="5"/>
      <c r="G22" s="5"/>
      <c r="H22" s="5"/>
      <c r="I22" s="6" t="s">
        <v>659</v>
      </c>
    </row>
    <row r="23" spans="1:9" x14ac:dyDescent="0.25">
      <c r="A23" s="5">
        <v>21</v>
      </c>
      <c r="B23" s="5">
        <v>261026</v>
      </c>
      <c r="C23" s="7" t="s">
        <v>91</v>
      </c>
      <c r="D23" s="5">
        <v>62026233</v>
      </c>
      <c r="E23" s="5" t="s">
        <v>71</v>
      </c>
      <c r="F23" s="5"/>
      <c r="G23" s="5"/>
      <c r="H23" s="5"/>
      <c r="I23" s="6" t="s">
        <v>659</v>
      </c>
    </row>
    <row r="24" spans="1:9" x14ac:dyDescent="0.25">
      <c r="A24" s="5">
        <v>22</v>
      </c>
      <c r="B24" s="5">
        <v>261078</v>
      </c>
      <c r="C24" s="7" t="s">
        <v>219</v>
      </c>
      <c r="D24" s="5">
        <v>72583974</v>
      </c>
      <c r="E24" s="5" t="s">
        <v>71</v>
      </c>
      <c r="F24" s="5"/>
      <c r="G24" s="5"/>
      <c r="H24" s="5"/>
      <c r="I24" s="6" t="s">
        <v>658</v>
      </c>
    </row>
    <row r="25" spans="1:9" x14ac:dyDescent="0.25">
      <c r="A25" s="5">
        <v>23</v>
      </c>
      <c r="B25" s="5">
        <v>261279</v>
      </c>
      <c r="C25" s="7" t="s">
        <v>623</v>
      </c>
      <c r="D25" s="5">
        <v>61779498</v>
      </c>
      <c r="E25" s="5" t="s">
        <v>71</v>
      </c>
      <c r="F25" s="5"/>
      <c r="G25" s="5"/>
      <c r="H25" s="5"/>
      <c r="I25" s="6" t="s">
        <v>659</v>
      </c>
    </row>
    <row r="26" spans="1:9" x14ac:dyDescent="0.25">
      <c r="A26" s="5">
        <v>24</v>
      </c>
      <c r="B26" s="5">
        <v>261032</v>
      </c>
      <c r="C26" s="7" t="s">
        <v>105</v>
      </c>
      <c r="D26" s="5">
        <v>61507566</v>
      </c>
      <c r="E26" s="5" t="s">
        <v>71</v>
      </c>
      <c r="F26" s="5"/>
      <c r="G26" s="5"/>
      <c r="H26" s="5"/>
      <c r="I26" s="6" t="s">
        <v>659</v>
      </c>
    </row>
    <row r="27" spans="1:9" x14ac:dyDescent="0.25">
      <c r="A27" s="5">
        <v>25</v>
      </c>
      <c r="B27" s="5">
        <v>261133</v>
      </c>
      <c r="C27" s="7" t="s">
        <v>327</v>
      </c>
      <c r="D27" s="5">
        <v>61128586</v>
      </c>
      <c r="E27" s="5" t="s">
        <v>71</v>
      </c>
      <c r="F27" s="5"/>
      <c r="G27" s="5"/>
      <c r="H27" s="5"/>
      <c r="I27" s="6" t="s">
        <v>659</v>
      </c>
    </row>
    <row r="28" spans="1:9" x14ac:dyDescent="0.25">
      <c r="A28" s="5">
        <v>26</v>
      </c>
      <c r="B28" s="5">
        <v>261123</v>
      </c>
      <c r="C28" s="7" t="s">
        <v>307</v>
      </c>
      <c r="D28" s="5">
        <v>60677783</v>
      </c>
      <c r="E28" s="5" t="s">
        <v>71</v>
      </c>
      <c r="F28" s="5"/>
      <c r="G28" s="5"/>
      <c r="H28" s="5"/>
      <c r="I28" s="6" t="s">
        <v>659</v>
      </c>
    </row>
    <row r="29" spans="1:9" x14ac:dyDescent="0.25">
      <c r="A29" s="5">
        <v>27</v>
      </c>
      <c r="B29" s="5">
        <v>261037</v>
      </c>
      <c r="C29" s="7" t="s">
        <v>120</v>
      </c>
      <c r="D29" s="5">
        <v>60344949</v>
      </c>
      <c r="E29" s="5" t="s">
        <v>71</v>
      </c>
      <c r="F29" s="5"/>
      <c r="G29" s="5"/>
      <c r="H29" s="5"/>
      <c r="I29" s="6" t="s">
        <v>659</v>
      </c>
    </row>
    <row r="30" spans="1:9" x14ac:dyDescent="0.25">
      <c r="A30" s="5">
        <v>28</v>
      </c>
      <c r="B30" s="5">
        <v>261138</v>
      </c>
      <c r="C30" s="7" t="s">
        <v>338</v>
      </c>
      <c r="D30" s="5">
        <v>61525904</v>
      </c>
      <c r="E30" s="5" t="s">
        <v>71</v>
      </c>
      <c r="F30" s="5"/>
      <c r="G30" s="5"/>
      <c r="H30" s="5"/>
      <c r="I30" s="6" t="s">
        <v>659</v>
      </c>
    </row>
    <row r="31" spans="1:9" x14ac:dyDescent="0.25">
      <c r="A31" s="5">
        <v>29</v>
      </c>
      <c r="B31" s="5">
        <v>261194</v>
      </c>
      <c r="C31" s="7" t="s">
        <v>457</v>
      </c>
      <c r="D31" s="5">
        <v>76124883</v>
      </c>
      <c r="E31" s="5" t="s">
        <v>71</v>
      </c>
      <c r="F31" s="5"/>
      <c r="G31" s="5"/>
      <c r="H31" s="5"/>
      <c r="I31" s="6" t="s">
        <v>659</v>
      </c>
    </row>
    <row r="32" spans="1:9" x14ac:dyDescent="0.25">
      <c r="A32" s="5">
        <v>30</v>
      </c>
      <c r="B32" s="5">
        <v>261235</v>
      </c>
      <c r="C32" s="7" t="s">
        <v>541</v>
      </c>
      <c r="D32" s="5">
        <v>61526074</v>
      </c>
      <c r="E32" s="5" t="s">
        <v>71</v>
      </c>
      <c r="F32" s="5"/>
      <c r="G32" s="5"/>
      <c r="H32" s="5"/>
      <c r="I32" s="6" t="s">
        <v>659</v>
      </c>
    </row>
    <row r="33" spans="1:9" x14ac:dyDescent="0.25">
      <c r="A33" s="5">
        <v>31</v>
      </c>
      <c r="B33" s="5">
        <v>261091</v>
      </c>
      <c r="C33" s="7" t="s">
        <v>246</v>
      </c>
      <c r="D33" s="5">
        <v>60618592</v>
      </c>
      <c r="E33" s="5" t="s">
        <v>71</v>
      </c>
      <c r="F33" s="5"/>
      <c r="G33" s="5"/>
      <c r="H33" s="5"/>
      <c r="I33" s="6" t="s">
        <v>659</v>
      </c>
    </row>
    <row r="34" spans="1:9" x14ac:dyDescent="0.25">
      <c r="A34" s="5">
        <v>32</v>
      </c>
      <c r="B34" s="5">
        <v>261089</v>
      </c>
      <c r="C34" s="7" t="s">
        <v>242</v>
      </c>
      <c r="D34" s="5">
        <v>61376423</v>
      </c>
      <c r="E34" s="5" t="s">
        <v>71</v>
      </c>
      <c r="F34" s="5"/>
      <c r="G34" s="5"/>
      <c r="H34" s="5"/>
      <c r="I34" s="6" t="s">
        <v>659</v>
      </c>
    </row>
    <row r="35" spans="1:9" x14ac:dyDescent="0.25">
      <c r="A35" s="5">
        <v>33</v>
      </c>
      <c r="B35" s="5">
        <v>261105</v>
      </c>
      <c r="C35" s="7" t="s">
        <v>272</v>
      </c>
      <c r="D35" s="5">
        <v>61085875</v>
      </c>
      <c r="E35" s="5" t="s">
        <v>71</v>
      </c>
      <c r="F35" s="5"/>
      <c r="G35" s="5"/>
      <c r="H35" s="5"/>
      <c r="I35" s="6" t="s">
        <v>659</v>
      </c>
    </row>
    <row r="36" spans="1:9" x14ac:dyDescent="0.25">
      <c r="A36" s="5">
        <v>34</v>
      </c>
      <c r="B36" s="5">
        <v>261238</v>
      </c>
      <c r="C36" s="7" t="s">
        <v>547</v>
      </c>
      <c r="D36" s="5">
        <v>62877364</v>
      </c>
      <c r="E36" s="5" t="s">
        <v>71</v>
      </c>
      <c r="F36" s="5"/>
      <c r="G36" s="5"/>
      <c r="H36" s="5"/>
      <c r="I36" s="6" t="s">
        <v>658</v>
      </c>
    </row>
    <row r="37" spans="1:9" x14ac:dyDescent="0.25">
      <c r="A37" s="5">
        <v>35</v>
      </c>
      <c r="B37" s="5">
        <v>261055</v>
      </c>
      <c r="C37" s="7" t="s">
        <v>164</v>
      </c>
      <c r="D37" s="5">
        <v>61086073</v>
      </c>
      <c r="E37" s="5" t="s">
        <v>71</v>
      </c>
      <c r="F37" s="5"/>
      <c r="G37" s="5"/>
      <c r="H37" s="5"/>
      <c r="I37" s="6" t="s">
        <v>659</v>
      </c>
    </row>
    <row r="38" spans="1:9" x14ac:dyDescent="0.25">
      <c r="A38" s="5">
        <v>36</v>
      </c>
      <c r="B38" s="5">
        <v>261071</v>
      </c>
      <c r="C38" s="7" t="s">
        <v>203</v>
      </c>
      <c r="D38" s="5">
        <v>62116588</v>
      </c>
      <c r="E38" s="5" t="s">
        <v>71</v>
      </c>
      <c r="F38" s="5"/>
      <c r="G38" s="5"/>
      <c r="H38" s="5"/>
      <c r="I38" s="6" t="s">
        <v>658</v>
      </c>
    </row>
    <row r="39" spans="1:9" x14ac:dyDescent="0.25">
      <c r="A39" s="5">
        <v>37</v>
      </c>
      <c r="B39" s="5">
        <v>261120</v>
      </c>
      <c r="C39" s="7" t="s">
        <v>301</v>
      </c>
      <c r="D39" s="5">
        <v>60745078</v>
      </c>
      <c r="E39" s="5" t="s">
        <v>71</v>
      </c>
      <c r="F39" s="5"/>
      <c r="G39" s="5"/>
      <c r="H39" s="5"/>
      <c r="I39" s="6" t="s">
        <v>659</v>
      </c>
    </row>
    <row r="40" spans="1:9" x14ac:dyDescent="0.25">
      <c r="A40" s="5">
        <v>38</v>
      </c>
      <c r="B40" s="5">
        <v>261148</v>
      </c>
      <c r="C40" s="7" t="s">
        <v>362</v>
      </c>
      <c r="D40" s="5">
        <v>61030544</v>
      </c>
      <c r="E40" s="5" t="s">
        <v>71</v>
      </c>
      <c r="F40" s="5"/>
      <c r="G40" s="5"/>
      <c r="H40" s="5"/>
      <c r="I40" s="6" t="s">
        <v>659</v>
      </c>
    </row>
    <row r="41" spans="1:9" x14ac:dyDescent="0.25">
      <c r="A41" s="5">
        <v>39</v>
      </c>
      <c r="B41" s="5">
        <v>261274</v>
      </c>
      <c r="C41" s="7" t="s">
        <v>612</v>
      </c>
      <c r="D41" s="5">
        <v>73828952</v>
      </c>
      <c r="E41" s="5" t="s">
        <v>71</v>
      </c>
      <c r="F41" s="5"/>
      <c r="G41" s="5"/>
      <c r="H41" s="5"/>
      <c r="I41" s="6" t="s">
        <v>659</v>
      </c>
    </row>
    <row r="42" spans="1:9" x14ac:dyDescent="0.25">
      <c r="A42" s="5">
        <v>40</v>
      </c>
      <c r="B42" s="5">
        <v>261044</v>
      </c>
      <c r="C42" s="7" t="s">
        <v>135</v>
      </c>
      <c r="D42" s="5">
        <v>72995399</v>
      </c>
      <c r="E42" s="5" t="s">
        <v>71</v>
      </c>
      <c r="F42" s="5"/>
      <c r="G42" s="5"/>
      <c r="H42" s="5"/>
      <c r="I42" s="6" t="s">
        <v>659</v>
      </c>
    </row>
    <row r="43" spans="1:9" x14ac:dyDescent="0.25">
      <c r="A43" s="5">
        <v>41</v>
      </c>
      <c r="B43" s="5">
        <v>261018</v>
      </c>
      <c r="C43" s="7" t="s">
        <v>70</v>
      </c>
      <c r="D43" s="5">
        <v>61443886</v>
      </c>
      <c r="E43" s="5" t="s">
        <v>71</v>
      </c>
      <c r="F43" s="5"/>
      <c r="G43" s="5"/>
      <c r="H43" s="5"/>
      <c r="I43" s="6" t="s">
        <v>658</v>
      </c>
    </row>
    <row r="44" spans="1:9" x14ac:dyDescent="0.25">
      <c r="A44" s="5">
        <v>42</v>
      </c>
      <c r="B44" s="5">
        <v>261068</v>
      </c>
      <c r="C44" s="7" t="s">
        <v>194</v>
      </c>
      <c r="D44" s="5">
        <v>60603628</v>
      </c>
      <c r="E44" s="5" t="s">
        <v>71</v>
      </c>
      <c r="F44" s="5"/>
      <c r="G44" s="5"/>
      <c r="H44" s="5"/>
      <c r="I44" s="6" t="s">
        <v>659</v>
      </c>
    </row>
    <row r="45" spans="1:9" x14ac:dyDescent="0.25">
      <c r="A45" s="5">
        <v>43</v>
      </c>
      <c r="B45" s="5">
        <v>261058</v>
      </c>
      <c r="C45" s="7" t="s">
        <v>171</v>
      </c>
      <c r="D45" s="5">
        <v>61374860</v>
      </c>
      <c r="E45" s="5" t="s">
        <v>71</v>
      </c>
      <c r="F45" s="5"/>
      <c r="G45" s="5"/>
      <c r="H45" s="5"/>
      <c r="I45" s="6" t="s">
        <v>659</v>
      </c>
    </row>
    <row r="46" spans="1:9" x14ac:dyDescent="0.25">
      <c r="A46" s="5">
        <v>44</v>
      </c>
      <c r="B46" s="5">
        <v>261162</v>
      </c>
      <c r="C46" s="7" t="s">
        <v>388</v>
      </c>
      <c r="D46" s="5">
        <v>61514379</v>
      </c>
      <c r="E46" s="5" t="s">
        <v>71</v>
      </c>
      <c r="F46" s="5"/>
      <c r="G46" s="5"/>
      <c r="H46" s="5"/>
      <c r="I46" s="6" t="s">
        <v>659</v>
      </c>
    </row>
    <row r="47" spans="1:9" x14ac:dyDescent="0.25">
      <c r="A47" s="5">
        <v>45</v>
      </c>
      <c r="B47" s="5">
        <v>261084</v>
      </c>
      <c r="C47" s="7" t="s">
        <v>232</v>
      </c>
      <c r="D47" s="5">
        <v>61567216</v>
      </c>
      <c r="E47" s="5" t="s">
        <v>71</v>
      </c>
      <c r="F47" s="5"/>
      <c r="G47" s="5"/>
      <c r="H47" s="5"/>
      <c r="I47" s="6" t="s">
        <v>659</v>
      </c>
    </row>
    <row r="48" spans="1:9" x14ac:dyDescent="0.25">
      <c r="A48" s="5">
        <v>46</v>
      </c>
      <c r="B48" s="5">
        <v>261065</v>
      </c>
      <c r="C48" s="7" t="s">
        <v>186</v>
      </c>
      <c r="D48" s="5">
        <v>61869165</v>
      </c>
      <c r="E48" s="5" t="s">
        <v>71</v>
      </c>
      <c r="F48" s="5"/>
      <c r="G48" s="5"/>
      <c r="H48" s="5"/>
      <c r="I48" s="6" t="s">
        <v>659</v>
      </c>
    </row>
    <row r="49" spans="1:9" x14ac:dyDescent="0.25">
      <c r="A49" s="5">
        <v>47</v>
      </c>
      <c r="B49" s="5">
        <v>261248</v>
      </c>
      <c r="C49" s="7" t="s">
        <v>565</v>
      </c>
      <c r="D49" s="5">
        <v>61075053</v>
      </c>
      <c r="E49" s="5" t="s">
        <v>71</v>
      </c>
      <c r="F49" s="5"/>
      <c r="G49" s="5"/>
      <c r="H49" s="5"/>
      <c r="I49" s="6" t="s">
        <v>659</v>
      </c>
    </row>
    <row r="50" spans="1:9" x14ac:dyDescent="0.25">
      <c r="A50" s="5">
        <v>48</v>
      </c>
      <c r="B50" s="5">
        <v>261183</v>
      </c>
      <c r="C50" s="7" t="s">
        <v>433</v>
      </c>
      <c r="D50" s="5">
        <v>61779472</v>
      </c>
      <c r="E50" s="5" t="s">
        <v>71</v>
      </c>
      <c r="F50" s="5"/>
      <c r="G50" s="5"/>
      <c r="H50" s="5"/>
      <c r="I50" s="6" t="s">
        <v>659</v>
      </c>
    </row>
    <row r="51" spans="1:9" x14ac:dyDescent="0.25">
      <c r="A51" s="5">
        <v>49</v>
      </c>
      <c r="B51" s="5">
        <v>261019</v>
      </c>
      <c r="C51" s="7" t="s">
        <v>73</v>
      </c>
      <c r="D51" s="5">
        <v>60609642</v>
      </c>
      <c r="E51" s="5" t="s">
        <v>71</v>
      </c>
      <c r="F51" s="5"/>
      <c r="G51" s="5"/>
      <c r="H51" s="5"/>
      <c r="I51" s="6" t="s">
        <v>658</v>
      </c>
    </row>
    <row r="52" spans="1:9" x14ac:dyDescent="0.25">
      <c r="A52" s="5">
        <v>50</v>
      </c>
      <c r="B52" s="5">
        <v>261144</v>
      </c>
      <c r="C52" s="7" t="s">
        <v>353</v>
      </c>
      <c r="D52" s="5">
        <v>61992256</v>
      </c>
      <c r="E52" s="5" t="s">
        <v>71</v>
      </c>
      <c r="F52" s="5"/>
      <c r="G52" s="5"/>
      <c r="H52" s="5"/>
      <c r="I52" s="6" t="s">
        <v>659</v>
      </c>
    </row>
  </sheetData>
  <autoFilter ref="A1:I51" xr:uid="{EAF1D4CD-4010-4E27-AE86-BC520A9FD7C2}">
    <filterColumn colId="5" showButton="0"/>
    <sortState xmlns:xlrd2="http://schemas.microsoft.com/office/spreadsheetml/2017/richdata2" ref="A4:I52">
      <sortCondition ref="C1:C51"/>
    </sortState>
  </autoFilter>
  <mergeCells count="8">
    <mergeCell ref="H1:H2"/>
    <mergeCell ref="I1:I2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1A1DF-507B-4B76-AE99-B67284F70D02}">
  <sheetPr codeName="Hoja4"/>
  <dimension ref="A1:I53"/>
  <sheetViews>
    <sheetView workbookViewId="0">
      <selection activeCell="I21" sqref="I21"/>
    </sheetView>
  </sheetViews>
  <sheetFormatPr baseColWidth="10" defaultRowHeight="15" x14ac:dyDescent="0.25"/>
  <cols>
    <col min="1" max="1" width="4" style="2" bestFit="1" customWidth="1"/>
    <col min="2" max="2" width="8.7109375" style="2" customWidth="1"/>
    <col min="3" max="3" width="50" style="2" bestFit="1" customWidth="1"/>
    <col min="4" max="4" width="10" style="2" bestFit="1" customWidth="1"/>
    <col min="5" max="5" width="18.85546875" style="2" customWidth="1"/>
    <col min="6" max="6" width="6.140625" style="2" customWidth="1"/>
    <col min="7" max="7" width="6.140625" style="2" bestFit="1" customWidth="1"/>
    <col min="8" max="8" width="28.5703125" style="2" customWidth="1"/>
    <col min="9" max="9" width="5.42578125" style="3" customWidth="1"/>
  </cols>
  <sheetData>
    <row r="1" spans="1:9" ht="15" customHeight="1" x14ac:dyDescent="0.25">
      <c r="A1" s="15" t="s">
        <v>649</v>
      </c>
      <c r="B1" s="15" t="s">
        <v>650</v>
      </c>
      <c r="C1" s="15" t="s">
        <v>651</v>
      </c>
      <c r="D1" s="15" t="s">
        <v>0</v>
      </c>
      <c r="E1" s="15" t="s">
        <v>652</v>
      </c>
      <c r="F1" s="17" t="s">
        <v>663</v>
      </c>
      <c r="G1" s="17"/>
      <c r="H1" s="15" t="s">
        <v>656</v>
      </c>
      <c r="I1" s="18" t="s">
        <v>657</v>
      </c>
    </row>
    <row r="2" spans="1:9" ht="15" customHeight="1" x14ac:dyDescent="0.25">
      <c r="A2" s="15"/>
      <c r="B2" s="15"/>
      <c r="C2" s="15"/>
      <c r="D2" s="15"/>
      <c r="E2" s="15"/>
      <c r="F2" s="8" t="s">
        <v>661</v>
      </c>
      <c r="G2" s="8" t="s">
        <v>662</v>
      </c>
      <c r="H2" s="15"/>
      <c r="I2" s="19"/>
    </row>
    <row r="3" spans="1:9" x14ac:dyDescent="0.25">
      <c r="A3" s="5">
        <v>1</v>
      </c>
      <c r="B3" s="5">
        <v>261267</v>
      </c>
      <c r="C3" s="7" t="s">
        <v>599</v>
      </c>
      <c r="D3" s="5">
        <v>61428604</v>
      </c>
      <c r="E3" s="5" t="s">
        <v>37</v>
      </c>
      <c r="F3" s="5"/>
      <c r="G3" s="5"/>
      <c r="H3" s="5"/>
      <c r="I3" s="6" t="s">
        <v>659</v>
      </c>
    </row>
    <row r="4" spans="1:9" x14ac:dyDescent="0.25">
      <c r="A4" s="5">
        <v>2</v>
      </c>
      <c r="B4" s="5">
        <v>261100</v>
      </c>
      <c r="C4" s="7" t="s">
        <v>262</v>
      </c>
      <c r="D4" s="5">
        <v>61562723</v>
      </c>
      <c r="E4" s="5" t="s">
        <v>37</v>
      </c>
      <c r="F4" s="5"/>
      <c r="G4" s="5"/>
      <c r="H4" s="5"/>
      <c r="I4" s="6" t="s">
        <v>659</v>
      </c>
    </row>
    <row r="5" spans="1:9" x14ac:dyDescent="0.25">
      <c r="A5" s="5">
        <v>3</v>
      </c>
      <c r="B5" s="5">
        <v>261069</v>
      </c>
      <c r="C5" s="7" t="s">
        <v>199</v>
      </c>
      <c r="D5" s="5">
        <v>61992149</v>
      </c>
      <c r="E5" s="5" t="s">
        <v>37</v>
      </c>
      <c r="F5" s="5"/>
      <c r="G5" s="5"/>
      <c r="H5" s="5"/>
      <c r="I5" s="6" t="s">
        <v>659</v>
      </c>
    </row>
    <row r="6" spans="1:9" x14ac:dyDescent="0.25">
      <c r="A6" s="5">
        <v>4</v>
      </c>
      <c r="B6" s="5">
        <v>261119</v>
      </c>
      <c r="C6" s="7" t="s">
        <v>299</v>
      </c>
      <c r="D6" s="5">
        <v>61991754</v>
      </c>
      <c r="E6" s="5" t="s">
        <v>37</v>
      </c>
      <c r="F6" s="5"/>
      <c r="G6" s="5"/>
      <c r="H6" s="5"/>
      <c r="I6" s="6" t="s">
        <v>658</v>
      </c>
    </row>
    <row r="7" spans="1:9" x14ac:dyDescent="0.25">
      <c r="A7" s="5">
        <v>5</v>
      </c>
      <c r="B7" s="5">
        <v>261039</v>
      </c>
      <c r="C7" s="7" t="s">
        <v>124</v>
      </c>
      <c r="D7" s="5">
        <v>61347484</v>
      </c>
      <c r="E7" s="5" t="s">
        <v>37</v>
      </c>
      <c r="F7" s="5"/>
      <c r="G7" s="5"/>
      <c r="H7" s="5"/>
      <c r="I7" s="6" t="s">
        <v>659</v>
      </c>
    </row>
    <row r="8" spans="1:9" x14ac:dyDescent="0.25">
      <c r="A8" s="5">
        <v>6</v>
      </c>
      <c r="B8" s="5">
        <v>261128</v>
      </c>
      <c r="C8" s="7" t="s">
        <v>318</v>
      </c>
      <c r="D8" s="5">
        <v>61583822</v>
      </c>
      <c r="E8" s="5" t="s">
        <v>37</v>
      </c>
      <c r="F8" s="5"/>
      <c r="G8" s="5"/>
      <c r="H8" s="5"/>
      <c r="I8" s="6" t="s">
        <v>659</v>
      </c>
    </row>
    <row r="9" spans="1:9" x14ac:dyDescent="0.25">
      <c r="A9" s="5">
        <v>7</v>
      </c>
      <c r="B9" s="5">
        <v>261226</v>
      </c>
      <c r="C9" s="7" t="s">
        <v>522</v>
      </c>
      <c r="D9" s="5">
        <v>76119521</v>
      </c>
      <c r="E9" s="5" t="s">
        <v>37</v>
      </c>
      <c r="F9" s="5"/>
      <c r="G9" s="5"/>
      <c r="H9" s="5"/>
      <c r="I9" s="6" t="s">
        <v>659</v>
      </c>
    </row>
    <row r="10" spans="1:9" x14ac:dyDescent="0.25">
      <c r="A10" s="5">
        <v>8</v>
      </c>
      <c r="B10" s="5">
        <v>261034</v>
      </c>
      <c r="C10" s="7" t="s">
        <v>109</v>
      </c>
      <c r="D10" s="5">
        <v>60637533</v>
      </c>
      <c r="E10" s="5" t="s">
        <v>37</v>
      </c>
      <c r="F10" s="5"/>
      <c r="G10" s="5"/>
      <c r="H10" s="5"/>
      <c r="I10" s="6" t="s">
        <v>658</v>
      </c>
    </row>
    <row r="11" spans="1:9" x14ac:dyDescent="0.25">
      <c r="A11" s="5">
        <v>9</v>
      </c>
      <c r="B11" s="5">
        <v>261053</v>
      </c>
      <c r="C11" s="7" t="s">
        <v>157</v>
      </c>
      <c r="D11" s="5">
        <v>61948584</v>
      </c>
      <c r="E11" s="5" t="s">
        <v>37</v>
      </c>
      <c r="F11" s="5"/>
      <c r="G11" s="5"/>
      <c r="H11" s="5"/>
      <c r="I11" s="6" t="s">
        <v>659</v>
      </c>
    </row>
    <row r="12" spans="1:9" x14ac:dyDescent="0.25">
      <c r="A12" s="5">
        <v>10</v>
      </c>
      <c r="B12" s="5">
        <v>261020</v>
      </c>
      <c r="C12" s="7" t="s">
        <v>76</v>
      </c>
      <c r="D12" s="5">
        <v>61487205</v>
      </c>
      <c r="E12" s="5" t="s">
        <v>37</v>
      </c>
      <c r="F12" s="5"/>
      <c r="G12" s="5"/>
      <c r="H12" s="5"/>
      <c r="I12" s="6" t="s">
        <v>659</v>
      </c>
    </row>
    <row r="13" spans="1:9" x14ac:dyDescent="0.25">
      <c r="A13" s="5">
        <v>11</v>
      </c>
      <c r="B13" s="5">
        <v>261176</v>
      </c>
      <c r="C13" s="7" t="s">
        <v>417</v>
      </c>
      <c r="D13" s="5">
        <v>61389669</v>
      </c>
      <c r="E13" s="5" t="s">
        <v>37</v>
      </c>
      <c r="F13" s="5"/>
      <c r="G13" s="5"/>
      <c r="H13" s="5"/>
      <c r="I13" s="6" t="s">
        <v>659</v>
      </c>
    </row>
    <row r="14" spans="1:9" x14ac:dyDescent="0.25">
      <c r="A14" s="5">
        <v>12</v>
      </c>
      <c r="B14" s="5">
        <v>261080</v>
      </c>
      <c r="C14" s="7" t="s">
        <v>223</v>
      </c>
      <c r="D14" s="5">
        <v>60618622</v>
      </c>
      <c r="E14" s="5" t="s">
        <v>37</v>
      </c>
      <c r="F14" s="5"/>
      <c r="G14" s="5"/>
      <c r="H14" s="5"/>
      <c r="I14" s="6" t="s">
        <v>659</v>
      </c>
    </row>
    <row r="15" spans="1:9" x14ac:dyDescent="0.25">
      <c r="A15" s="5">
        <v>13</v>
      </c>
      <c r="B15" s="5">
        <v>261271</v>
      </c>
      <c r="C15" s="7" t="s">
        <v>606</v>
      </c>
      <c r="D15" s="5">
        <v>62026527</v>
      </c>
      <c r="E15" s="5" t="s">
        <v>37</v>
      </c>
      <c r="F15" s="5"/>
      <c r="G15" s="5"/>
      <c r="H15" s="5"/>
      <c r="I15" s="6" t="s">
        <v>659</v>
      </c>
    </row>
    <row r="16" spans="1:9" x14ac:dyDescent="0.25">
      <c r="A16" s="5">
        <v>14</v>
      </c>
      <c r="B16" s="5">
        <v>261163</v>
      </c>
      <c r="C16" s="7" t="s">
        <v>390</v>
      </c>
      <c r="D16" s="5">
        <v>61632568</v>
      </c>
      <c r="E16" s="5" t="s">
        <v>37</v>
      </c>
      <c r="F16" s="5"/>
      <c r="G16" s="5"/>
      <c r="H16" s="5"/>
      <c r="I16" s="6" t="s">
        <v>659</v>
      </c>
    </row>
    <row r="17" spans="1:9" x14ac:dyDescent="0.25">
      <c r="A17" s="5">
        <v>15</v>
      </c>
      <c r="B17" s="5">
        <v>261059</v>
      </c>
      <c r="C17" s="7" t="s">
        <v>173</v>
      </c>
      <c r="D17" s="5">
        <v>61389706</v>
      </c>
      <c r="E17" s="5" t="s">
        <v>37</v>
      </c>
      <c r="F17" s="5"/>
      <c r="G17" s="5"/>
      <c r="H17" s="5"/>
      <c r="I17" s="6" t="s">
        <v>659</v>
      </c>
    </row>
    <row r="18" spans="1:9" x14ac:dyDescent="0.25">
      <c r="A18" s="5">
        <v>16</v>
      </c>
      <c r="B18" s="5">
        <v>261260</v>
      </c>
      <c r="C18" s="7" t="s">
        <v>587</v>
      </c>
      <c r="D18" s="5">
        <v>81395125</v>
      </c>
      <c r="E18" s="5" t="s">
        <v>37</v>
      </c>
      <c r="F18" s="5"/>
      <c r="G18" s="5"/>
      <c r="H18" s="5"/>
      <c r="I18" s="6" t="s">
        <v>659</v>
      </c>
    </row>
    <row r="19" spans="1:9" x14ac:dyDescent="0.25">
      <c r="A19" s="5">
        <v>17</v>
      </c>
      <c r="B19" s="5">
        <v>261090</v>
      </c>
      <c r="C19" s="7" t="s">
        <v>244</v>
      </c>
      <c r="D19" s="5">
        <v>61514260</v>
      </c>
      <c r="E19" s="5" t="s">
        <v>37</v>
      </c>
      <c r="F19" s="5"/>
      <c r="G19" s="5"/>
      <c r="H19" s="5"/>
      <c r="I19" s="6" t="s">
        <v>659</v>
      </c>
    </row>
    <row r="20" spans="1:9" x14ac:dyDescent="0.25">
      <c r="A20" s="5">
        <v>18</v>
      </c>
      <c r="B20" s="5">
        <v>261049</v>
      </c>
      <c r="C20" s="7" t="s">
        <v>146</v>
      </c>
      <c r="D20" s="5">
        <v>61389578</v>
      </c>
      <c r="E20" s="5" t="s">
        <v>37</v>
      </c>
      <c r="F20" s="5"/>
      <c r="G20" s="5"/>
      <c r="H20" s="5"/>
      <c r="I20" s="6" t="s">
        <v>659</v>
      </c>
    </row>
    <row r="21" spans="1:9" x14ac:dyDescent="0.25">
      <c r="A21" s="5">
        <v>19</v>
      </c>
      <c r="B21" s="5">
        <v>261190</v>
      </c>
      <c r="C21" s="7" t="s">
        <v>444</v>
      </c>
      <c r="D21" s="5">
        <v>71675709</v>
      </c>
      <c r="E21" s="5" t="s">
        <v>37</v>
      </c>
      <c r="F21" s="5"/>
      <c r="G21" s="5"/>
      <c r="H21" s="5"/>
      <c r="I21" s="6" t="s">
        <v>659</v>
      </c>
    </row>
    <row r="22" spans="1:9" x14ac:dyDescent="0.25">
      <c r="A22" s="5">
        <v>20</v>
      </c>
      <c r="B22" s="5">
        <v>261156</v>
      </c>
      <c r="C22" s="7" t="s">
        <v>375</v>
      </c>
      <c r="D22" s="5">
        <v>70696738</v>
      </c>
      <c r="E22" s="5" t="s">
        <v>37</v>
      </c>
      <c r="F22" s="5"/>
      <c r="G22" s="5"/>
      <c r="H22" s="5"/>
      <c r="I22" s="6" t="s">
        <v>659</v>
      </c>
    </row>
    <row r="23" spans="1:9" x14ac:dyDescent="0.25">
      <c r="A23" s="5">
        <v>21</v>
      </c>
      <c r="B23" s="5">
        <v>261239</v>
      </c>
      <c r="C23" s="7" t="s">
        <v>549</v>
      </c>
      <c r="D23" s="5">
        <v>62052027</v>
      </c>
      <c r="E23" s="5" t="s">
        <v>37</v>
      </c>
      <c r="F23" s="5"/>
      <c r="G23" s="5"/>
      <c r="H23" s="5"/>
      <c r="I23" s="6" t="s">
        <v>658</v>
      </c>
    </row>
    <row r="24" spans="1:9" x14ac:dyDescent="0.25">
      <c r="A24" s="5">
        <v>22</v>
      </c>
      <c r="B24" s="5">
        <v>261007</v>
      </c>
      <c r="C24" s="7" t="s">
        <v>36</v>
      </c>
      <c r="D24" s="5">
        <v>61562718</v>
      </c>
      <c r="E24" s="5" t="s">
        <v>37</v>
      </c>
      <c r="F24" s="5"/>
      <c r="G24" s="5"/>
      <c r="H24" s="5"/>
      <c r="I24" s="6" t="s">
        <v>658</v>
      </c>
    </row>
    <row r="25" spans="1:9" x14ac:dyDescent="0.25">
      <c r="A25" s="5">
        <v>23</v>
      </c>
      <c r="B25" s="5">
        <v>261276</v>
      </c>
      <c r="C25" s="7" t="s">
        <v>616</v>
      </c>
      <c r="D25" s="5">
        <v>61240920</v>
      </c>
      <c r="E25" s="5" t="s">
        <v>37</v>
      </c>
      <c r="F25" s="5"/>
      <c r="G25" s="5"/>
      <c r="H25" s="5"/>
      <c r="I25" s="6" t="s">
        <v>658</v>
      </c>
    </row>
    <row r="26" spans="1:9" x14ac:dyDescent="0.25">
      <c r="A26" s="5">
        <v>24</v>
      </c>
      <c r="B26" s="5">
        <v>261134</v>
      </c>
      <c r="C26" s="7" t="s">
        <v>329</v>
      </c>
      <c r="D26" s="5">
        <v>60087624</v>
      </c>
      <c r="E26" s="5" t="s">
        <v>37</v>
      </c>
      <c r="F26" s="5"/>
      <c r="G26" s="5"/>
      <c r="H26" s="5"/>
      <c r="I26" s="6" t="s">
        <v>659</v>
      </c>
    </row>
    <row r="27" spans="1:9" x14ac:dyDescent="0.25">
      <c r="A27" s="5">
        <v>25</v>
      </c>
      <c r="B27" s="5">
        <v>261122</v>
      </c>
      <c r="C27" s="7" t="s">
        <v>305</v>
      </c>
      <c r="D27" s="5">
        <v>60371790</v>
      </c>
      <c r="E27" s="5" t="s">
        <v>37</v>
      </c>
      <c r="F27" s="5"/>
      <c r="G27" s="5"/>
      <c r="H27" s="5"/>
      <c r="I27" s="6" t="s">
        <v>659</v>
      </c>
    </row>
    <row r="28" spans="1:9" x14ac:dyDescent="0.25">
      <c r="A28" s="5">
        <v>26</v>
      </c>
      <c r="B28" s="5">
        <v>261249</v>
      </c>
      <c r="C28" s="7" t="s">
        <v>567</v>
      </c>
      <c r="D28" s="5">
        <v>60071126</v>
      </c>
      <c r="E28" s="5" t="s">
        <v>37</v>
      </c>
      <c r="F28" s="5"/>
      <c r="G28" s="5"/>
      <c r="H28" s="5"/>
      <c r="I28" s="6" t="s">
        <v>658</v>
      </c>
    </row>
    <row r="29" spans="1:9" x14ac:dyDescent="0.25">
      <c r="A29" s="5">
        <v>27</v>
      </c>
      <c r="B29" s="5">
        <v>261046</v>
      </c>
      <c r="C29" s="7" t="s">
        <v>139</v>
      </c>
      <c r="D29" s="5">
        <v>73936485</v>
      </c>
      <c r="E29" s="5" t="s">
        <v>37</v>
      </c>
      <c r="F29" s="5"/>
      <c r="G29" s="5"/>
      <c r="H29" s="5"/>
      <c r="I29" s="6" t="s">
        <v>659</v>
      </c>
    </row>
    <row r="30" spans="1:9" x14ac:dyDescent="0.25">
      <c r="A30" s="5">
        <v>28</v>
      </c>
      <c r="B30" s="5">
        <v>261220</v>
      </c>
      <c r="C30" s="7" t="s">
        <v>509</v>
      </c>
      <c r="D30" s="5">
        <v>61389743</v>
      </c>
      <c r="E30" s="5" t="s">
        <v>37</v>
      </c>
      <c r="F30" s="5"/>
      <c r="G30" s="5"/>
      <c r="H30" s="5"/>
      <c r="I30" s="6" t="s">
        <v>659</v>
      </c>
    </row>
    <row r="31" spans="1:9" x14ac:dyDescent="0.25">
      <c r="A31" s="5">
        <v>29</v>
      </c>
      <c r="B31" s="5">
        <v>261236</v>
      </c>
      <c r="C31" s="7" t="s">
        <v>543</v>
      </c>
      <c r="D31" s="5">
        <v>61086032</v>
      </c>
      <c r="E31" s="5" t="s">
        <v>37</v>
      </c>
      <c r="F31" s="5"/>
      <c r="G31" s="5"/>
      <c r="H31" s="5"/>
      <c r="I31" s="6" t="s">
        <v>659</v>
      </c>
    </row>
    <row r="32" spans="1:9" x14ac:dyDescent="0.25">
      <c r="A32" s="5">
        <v>30</v>
      </c>
      <c r="B32" s="5">
        <v>261185</v>
      </c>
      <c r="C32" s="7" t="s">
        <v>436</v>
      </c>
      <c r="D32" s="5">
        <v>76229275</v>
      </c>
      <c r="E32" s="5" t="s">
        <v>37</v>
      </c>
      <c r="F32" s="5"/>
      <c r="G32" s="5"/>
      <c r="H32" s="5"/>
      <c r="I32" s="6" t="s">
        <v>658</v>
      </c>
    </row>
    <row r="33" spans="1:9" x14ac:dyDescent="0.25">
      <c r="A33" s="5">
        <v>31</v>
      </c>
      <c r="B33" s="5">
        <v>261161</v>
      </c>
      <c r="C33" s="7" t="s">
        <v>386</v>
      </c>
      <c r="D33" s="5">
        <v>72969030</v>
      </c>
      <c r="E33" s="5" t="s">
        <v>37</v>
      </c>
      <c r="F33" s="5"/>
      <c r="G33" s="5"/>
      <c r="H33" s="5"/>
      <c r="I33" s="6" t="s">
        <v>659</v>
      </c>
    </row>
    <row r="34" spans="1:9" x14ac:dyDescent="0.25">
      <c r="A34" s="5">
        <v>32</v>
      </c>
      <c r="B34" s="5">
        <v>261139</v>
      </c>
      <c r="C34" s="7" t="s">
        <v>340</v>
      </c>
      <c r="D34" s="5">
        <v>61779828</v>
      </c>
      <c r="E34" s="5" t="s">
        <v>37</v>
      </c>
      <c r="F34" s="5"/>
      <c r="G34" s="5"/>
      <c r="H34" s="5"/>
      <c r="I34" s="6" t="s">
        <v>659</v>
      </c>
    </row>
    <row r="35" spans="1:9" x14ac:dyDescent="0.25">
      <c r="A35" s="5">
        <v>33</v>
      </c>
      <c r="B35" s="5">
        <v>261096</v>
      </c>
      <c r="C35" s="7" t="s">
        <v>255</v>
      </c>
      <c r="D35" s="5">
        <v>61269084</v>
      </c>
      <c r="E35" s="5" t="s">
        <v>37</v>
      </c>
      <c r="F35" s="5"/>
      <c r="G35" s="5"/>
      <c r="H35" s="5"/>
      <c r="I35" s="6" t="s">
        <v>659</v>
      </c>
    </row>
    <row r="36" spans="1:9" x14ac:dyDescent="0.25">
      <c r="A36" s="5">
        <v>34</v>
      </c>
      <c r="B36" s="5">
        <v>261149</v>
      </c>
      <c r="C36" s="7" t="s">
        <v>364</v>
      </c>
      <c r="D36" s="5">
        <v>61249040</v>
      </c>
      <c r="E36" s="5" t="s">
        <v>37</v>
      </c>
      <c r="F36" s="5"/>
      <c r="G36" s="5"/>
      <c r="H36" s="5"/>
      <c r="I36" s="6" t="s">
        <v>658</v>
      </c>
    </row>
    <row r="37" spans="1:9" x14ac:dyDescent="0.25">
      <c r="A37" s="5">
        <v>35</v>
      </c>
      <c r="B37" s="5">
        <v>261056</v>
      </c>
      <c r="C37" s="7" t="s">
        <v>166</v>
      </c>
      <c r="D37" s="5">
        <v>62051802</v>
      </c>
      <c r="E37" s="5" t="s">
        <v>37</v>
      </c>
      <c r="F37" s="5"/>
      <c r="G37" s="5"/>
      <c r="H37" s="5"/>
      <c r="I37" s="6" t="s">
        <v>659</v>
      </c>
    </row>
    <row r="38" spans="1:9" x14ac:dyDescent="0.25">
      <c r="A38" s="5">
        <v>36</v>
      </c>
      <c r="B38" s="5">
        <v>261293</v>
      </c>
      <c r="C38" s="7" t="s">
        <v>664</v>
      </c>
      <c r="D38" s="5">
        <v>60886739</v>
      </c>
      <c r="E38" s="5" t="s">
        <v>37</v>
      </c>
      <c r="F38" s="5"/>
      <c r="G38" s="5"/>
      <c r="H38" s="5"/>
      <c r="I38" s="6" t="s">
        <v>659</v>
      </c>
    </row>
    <row r="39" spans="1:9" x14ac:dyDescent="0.25">
      <c r="A39" s="5">
        <v>37</v>
      </c>
      <c r="B39" s="5">
        <v>261066</v>
      </c>
      <c r="C39" s="7" t="s">
        <v>188</v>
      </c>
      <c r="D39" s="5">
        <v>8386384</v>
      </c>
      <c r="E39" s="5" t="s">
        <v>37</v>
      </c>
      <c r="F39" s="5"/>
      <c r="G39" s="5"/>
      <c r="H39" s="5"/>
      <c r="I39" s="6" t="s">
        <v>659</v>
      </c>
    </row>
    <row r="40" spans="1:9" x14ac:dyDescent="0.25">
      <c r="A40" s="5">
        <v>38</v>
      </c>
      <c r="B40" s="5">
        <v>261076</v>
      </c>
      <c r="C40" s="7" t="s">
        <v>215</v>
      </c>
      <c r="D40" s="5">
        <v>62051973</v>
      </c>
      <c r="E40" s="5" t="s">
        <v>37</v>
      </c>
      <c r="F40" s="5"/>
      <c r="G40" s="5"/>
      <c r="H40" s="5"/>
      <c r="I40" s="6" t="s">
        <v>659</v>
      </c>
    </row>
    <row r="41" spans="1:9" x14ac:dyDescent="0.25">
      <c r="A41" s="5">
        <v>39</v>
      </c>
      <c r="B41" s="5">
        <v>261043</v>
      </c>
      <c r="C41" s="7" t="s">
        <v>133</v>
      </c>
      <c r="D41" s="5">
        <v>62040190</v>
      </c>
      <c r="E41" s="5" t="s">
        <v>37</v>
      </c>
      <c r="F41" s="5"/>
      <c r="G41" s="5"/>
      <c r="H41" s="5"/>
      <c r="I41" s="6" t="s">
        <v>659</v>
      </c>
    </row>
    <row r="42" spans="1:9" x14ac:dyDescent="0.25">
      <c r="A42" s="5">
        <v>40</v>
      </c>
      <c r="B42" s="5">
        <v>261106</v>
      </c>
      <c r="C42" s="7" t="s">
        <v>274</v>
      </c>
      <c r="D42" s="5">
        <v>61507639</v>
      </c>
      <c r="E42" s="5" t="s">
        <v>37</v>
      </c>
      <c r="F42" s="5"/>
      <c r="G42" s="5"/>
      <c r="H42" s="5"/>
      <c r="I42" s="6" t="s">
        <v>659</v>
      </c>
    </row>
    <row r="43" spans="1:9" x14ac:dyDescent="0.25">
      <c r="A43" s="5">
        <v>41</v>
      </c>
      <c r="B43" s="5">
        <v>261092</v>
      </c>
      <c r="C43" s="7" t="s">
        <v>247</v>
      </c>
      <c r="D43" s="5">
        <v>61376491</v>
      </c>
      <c r="E43" s="5" t="s">
        <v>37</v>
      </c>
      <c r="F43" s="5"/>
      <c r="G43" s="5"/>
      <c r="H43" s="5"/>
      <c r="I43" s="6" t="s">
        <v>658</v>
      </c>
    </row>
    <row r="44" spans="1:9" x14ac:dyDescent="0.25">
      <c r="A44" s="5">
        <v>42</v>
      </c>
      <c r="B44" s="5">
        <v>261085</v>
      </c>
      <c r="C44" s="7" t="s">
        <v>234</v>
      </c>
      <c r="D44" s="5">
        <v>60184805</v>
      </c>
      <c r="E44" s="5" t="s">
        <v>37</v>
      </c>
      <c r="F44" s="5"/>
      <c r="G44" s="5"/>
      <c r="H44" s="5"/>
      <c r="I44" s="6" t="s">
        <v>659</v>
      </c>
    </row>
    <row r="45" spans="1:9" x14ac:dyDescent="0.25">
      <c r="A45" s="5">
        <v>43</v>
      </c>
      <c r="B45" s="5">
        <v>261168</v>
      </c>
      <c r="C45" s="7" t="s">
        <v>401</v>
      </c>
      <c r="D45" s="5">
        <v>75680587</v>
      </c>
      <c r="E45" s="5" t="s">
        <v>37</v>
      </c>
      <c r="F45" s="5"/>
      <c r="G45" s="5"/>
      <c r="H45" s="5"/>
      <c r="I45" s="6" t="s">
        <v>659</v>
      </c>
    </row>
    <row r="46" spans="1:9" x14ac:dyDescent="0.25">
      <c r="A46" s="5">
        <v>44</v>
      </c>
      <c r="B46" s="5">
        <v>261116</v>
      </c>
      <c r="C46" s="7" t="s">
        <v>293</v>
      </c>
      <c r="D46" s="5">
        <v>60383208</v>
      </c>
      <c r="E46" s="5" t="s">
        <v>37</v>
      </c>
      <c r="F46" s="5"/>
      <c r="G46" s="5"/>
      <c r="H46" s="5"/>
      <c r="I46" s="6" t="s">
        <v>659</v>
      </c>
    </row>
    <row r="47" spans="1:9" x14ac:dyDescent="0.25">
      <c r="A47" s="5">
        <v>45</v>
      </c>
      <c r="B47" s="5">
        <v>261254</v>
      </c>
      <c r="C47" s="7" t="s">
        <v>575</v>
      </c>
      <c r="D47" s="5">
        <v>61487139</v>
      </c>
      <c r="E47" s="5" t="s">
        <v>37</v>
      </c>
      <c r="F47" s="5"/>
      <c r="G47" s="5"/>
      <c r="H47" s="5"/>
      <c r="I47" s="6" t="s">
        <v>659</v>
      </c>
    </row>
    <row r="48" spans="1:9" x14ac:dyDescent="0.25">
      <c r="A48" s="5">
        <v>46</v>
      </c>
      <c r="B48" s="5">
        <v>261027</v>
      </c>
      <c r="C48" s="7" t="s">
        <v>93</v>
      </c>
      <c r="D48" s="5">
        <v>61389791</v>
      </c>
      <c r="E48" s="5" t="s">
        <v>37</v>
      </c>
      <c r="F48" s="5"/>
      <c r="G48" s="5"/>
      <c r="H48" s="5"/>
      <c r="I48" s="6" t="s">
        <v>659</v>
      </c>
    </row>
    <row r="49" spans="1:9" x14ac:dyDescent="0.25">
      <c r="A49" s="5">
        <v>47</v>
      </c>
      <c r="B49" s="5">
        <v>261145</v>
      </c>
      <c r="C49" s="7" t="s">
        <v>355</v>
      </c>
      <c r="D49" s="5">
        <v>60071013</v>
      </c>
      <c r="E49" s="5" t="s">
        <v>37</v>
      </c>
      <c r="F49" s="5"/>
      <c r="G49" s="5"/>
      <c r="H49" s="5"/>
      <c r="I49" s="6" t="s">
        <v>659</v>
      </c>
    </row>
    <row r="50" spans="1:9" x14ac:dyDescent="0.25">
      <c r="A50" s="5">
        <v>48</v>
      </c>
      <c r="B50" s="5">
        <v>261126</v>
      </c>
      <c r="C50" s="7" t="s">
        <v>314</v>
      </c>
      <c r="D50" s="5">
        <v>61525703</v>
      </c>
      <c r="E50" s="5" t="s">
        <v>37</v>
      </c>
      <c r="F50" s="5"/>
      <c r="G50" s="5"/>
      <c r="H50" s="5"/>
      <c r="I50" s="6" t="s">
        <v>658</v>
      </c>
    </row>
    <row r="51" spans="1:9" x14ac:dyDescent="0.25">
      <c r="A51" s="5">
        <v>49</v>
      </c>
      <c r="B51" s="5">
        <v>261281</v>
      </c>
      <c r="C51" s="7" t="s">
        <v>626</v>
      </c>
      <c r="D51" s="5">
        <v>61753942</v>
      </c>
      <c r="E51" s="5" t="s">
        <v>37</v>
      </c>
      <c r="F51" s="5"/>
      <c r="G51" s="5"/>
      <c r="H51" s="5"/>
      <c r="I51" s="6" t="s">
        <v>659</v>
      </c>
    </row>
    <row r="52" spans="1:9" x14ac:dyDescent="0.25">
      <c r="A52" s="5">
        <v>50</v>
      </c>
      <c r="B52" s="5">
        <v>261129</v>
      </c>
      <c r="C52" s="7" t="s">
        <v>320</v>
      </c>
      <c r="D52" s="5">
        <v>61487129</v>
      </c>
      <c r="E52" s="5" t="s">
        <v>37</v>
      </c>
      <c r="F52" s="5"/>
      <c r="G52" s="5"/>
      <c r="H52" s="5"/>
      <c r="I52" s="6" t="s">
        <v>659</v>
      </c>
    </row>
    <row r="53" spans="1:9" x14ac:dyDescent="0.25">
      <c r="A53" s="5">
        <v>51</v>
      </c>
      <c r="B53" s="5">
        <v>261072</v>
      </c>
      <c r="C53" s="7" t="s">
        <v>207</v>
      </c>
      <c r="D53" s="5">
        <v>61514321</v>
      </c>
      <c r="E53" s="5" t="s">
        <v>37</v>
      </c>
      <c r="F53" s="5"/>
      <c r="G53" s="5"/>
      <c r="H53" s="5"/>
      <c r="I53" s="6" t="s">
        <v>659</v>
      </c>
    </row>
  </sheetData>
  <autoFilter ref="A1:I51" xr:uid="{EAF1D4CD-4010-4E27-AE86-BC520A9FD7C2}">
    <filterColumn colId="5" showButton="0"/>
    <sortState xmlns:xlrd2="http://schemas.microsoft.com/office/spreadsheetml/2017/richdata2" ref="A4:I53">
      <sortCondition ref="C1:C51"/>
    </sortState>
  </autoFilter>
  <mergeCells count="8">
    <mergeCell ref="H1:H2"/>
    <mergeCell ref="I1:I2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58DC5-A662-41B2-826F-C919D02C5037}">
  <sheetPr codeName="Hoja5"/>
  <dimension ref="A1:I52"/>
  <sheetViews>
    <sheetView topLeftCell="A13" workbookViewId="0">
      <selection activeCell="H51" sqref="H51"/>
    </sheetView>
  </sheetViews>
  <sheetFormatPr baseColWidth="10" defaultRowHeight="15" x14ac:dyDescent="0.25"/>
  <cols>
    <col min="1" max="1" width="4" style="2" bestFit="1" customWidth="1"/>
    <col min="2" max="2" width="8.7109375" style="2" customWidth="1"/>
    <col min="3" max="3" width="50" style="2" bestFit="1" customWidth="1"/>
    <col min="4" max="4" width="10" style="2" bestFit="1" customWidth="1"/>
    <col min="5" max="5" width="18.85546875" style="2" customWidth="1"/>
    <col min="6" max="6" width="6.140625" style="2" customWidth="1"/>
    <col min="7" max="7" width="6.140625" style="2" bestFit="1" customWidth="1"/>
    <col min="8" max="8" width="28.5703125" style="2" customWidth="1"/>
    <col min="9" max="9" width="5.42578125" style="3" customWidth="1"/>
  </cols>
  <sheetData>
    <row r="1" spans="1:9" ht="15" customHeight="1" x14ac:dyDescent="0.25">
      <c r="A1" s="15" t="s">
        <v>649</v>
      </c>
      <c r="B1" s="15" t="s">
        <v>650</v>
      </c>
      <c r="C1" s="15" t="s">
        <v>651</v>
      </c>
      <c r="D1" s="15" t="s">
        <v>0</v>
      </c>
      <c r="E1" s="15" t="s">
        <v>652</v>
      </c>
      <c r="F1" s="17" t="s">
        <v>663</v>
      </c>
      <c r="G1" s="17"/>
      <c r="H1" s="15" t="s">
        <v>656</v>
      </c>
      <c r="I1" s="16" t="s">
        <v>657</v>
      </c>
    </row>
    <row r="2" spans="1:9" ht="15" customHeight="1" x14ac:dyDescent="0.25">
      <c r="A2" s="15"/>
      <c r="B2" s="15"/>
      <c r="C2" s="15"/>
      <c r="D2" s="15"/>
      <c r="E2" s="15"/>
      <c r="F2" s="8" t="s">
        <v>661</v>
      </c>
      <c r="G2" s="8" t="s">
        <v>662</v>
      </c>
      <c r="H2" s="15"/>
      <c r="I2" s="16"/>
    </row>
    <row r="3" spans="1:9" x14ac:dyDescent="0.25">
      <c r="A3" s="5">
        <v>1</v>
      </c>
      <c r="B3" s="5">
        <v>261237</v>
      </c>
      <c r="C3" s="7" t="s">
        <v>545</v>
      </c>
      <c r="D3" s="5">
        <v>61507560</v>
      </c>
      <c r="E3" s="5" t="s">
        <v>80</v>
      </c>
      <c r="F3" s="5"/>
      <c r="G3" s="5"/>
      <c r="H3" s="5"/>
      <c r="I3" s="6" t="s">
        <v>659</v>
      </c>
    </row>
    <row r="4" spans="1:9" x14ac:dyDescent="0.25">
      <c r="A4" s="5">
        <v>2</v>
      </c>
      <c r="B4" s="5">
        <v>261093</v>
      </c>
      <c r="C4" s="7" t="s">
        <v>249</v>
      </c>
      <c r="D4" s="5">
        <v>62528770</v>
      </c>
      <c r="E4" s="5" t="s">
        <v>80</v>
      </c>
      <c r="F4" s="5"/>
      <c r="G4" s="5"/>
      <c r="H4" s="5"/>
      <c r="I4" s="6" t="s">
        <v>659</v>
      </c>
    </row>
    <row r="5" spans="1:9" x14ac:dyDescent="0.25">
      <c r="A5" s="5">
        <v>3</v>
      </c>
      <c r="B5" s="5">
        <v>261282</v>
      </c>
      <c r="C5" s="7" t="s">
        <v>629</v>
      </c>
      <c r="D5" s="5">
        <v>61225663</v>
      </c>
      <c r="E5" s="5" t="s">
        <v>80</v>
      </c>
      <c r="F5" s="5"/>
      <c r="G5" s="5"/>
      <c r="H5" s="5"/>
      <c r="I5" s="6" t="s">
        <v>659</v>
      </c>
    </row>
    <row r="6" spans="1:9" x14ac:dyDescent="0.25">
      <c r="A6" s="5">
        <v>4</v>
      </c>
      <c r="B6" s="5">
        <v>261067</v>
      </c>
      <c r="C6" s="7" t="s">
        <v>192</v>
      </c>
      <c r="D6" s="5">
        <v>61428696</v>
      </c>
      <c r="E6" s="5" t="s">
        <v>80</v>
      </c>
      <c r="F6" s="5"/>
      <c r="G6" s="5"/>
      <c r="H6" s="5"/>
      <c r="I6" s="6" t="s">
        <v>659</v>
      </c>
    </row>
    <row r="7" spans="1:9" x14ac:dyDescent="0.25">
      <c r="A7" s="5">
        <v>5</v>
      </c>
      <c r="B7" s="5">
        <v>261158</v>
      </c>
      <c r="C7" s="7" t="s">
        <v>380</v>
      </c>
      <c r="D7" s="5">
        <v>61376474</v>
      </c>
      <c r="E7" s="5" t="s">
        <v>80</v>
      </c>
      <c r="F7" s="5"/>
      <c r="G7" s="5"/>
      <c r="H7" s="5"/>
      <c r="I7" s="6" t="s">
        <v>659</v>
      </c>
    </row>
    <row r="8" spans="1:9" x14ac:dyDescent="0.25">
      <c r="A8" s="5">
        <v>6</v>
      </c>
      <c r="B8" s="5">
        <v>261263</v>
      </c>
      <c r="C8" s="7" t="s">
        <v>592</v>
      </c>
      <c r="D8" s="5">
        <v>61611483</v>
      </c>
      <c r="E8" s="5" t="s">
        <v>80</v>
      </c>
      <c r="F8" s="5"/>
      <c r="G8" s="5"/>
      <c r="H8" s="5"/>
      <c r="I8" s="6" t="s">
        <v>659</v>
      </c>
    </row>
    <row r="9" spans="1:9" x14ac:dyDescent="0.25">
      <c r="A9" s="5">
        <v>7</v>
      </c>
      <c r="B9" s="5">
        <v>261277</v>
      </c>
      <c r="C9" s="7" t="s">
        <v>618</v>
      </c>
      <c r="D9" s="5" t="s">
        <v>619</v>
      </c>
      <c r="E9" s="5" t="s">
        <v>80</v>
      </c>
      <c r="F9" s="5"/>
      <c r="G9" s="5"/>
      <c r="H9" s="5"/>
      <c r="I9" s="6" t="s">
        <v>659</v>
      </c>
    </row>
    <row r="10" spans="1:9" x14ac:dyDescent="0.25">
      <c r="A10" s="5">
        <v>8</v>
      </c>
      <c r="B10" s="5">
        <v>261114</v>
      </c>
      <c r="C10" s="7" t="s">
        <v>290</v>
      </c>
      <c r="D10" s="5">
        <v>61443738</v>
      </c>
      <c r="E10" s="5" t="s">
        <v>80</v>
      </c>
      <c r="F10" s="5"/>
      <c r="G10" s="5"/>
      <c r="H10" s="5"/>
      <c r="I10" s="6" t="s">
        <v>659</v>
      </c>
    </row>
    <row r="11" spans="1:9" x14ac:dyDescent="0.25">
      <c r="A11" s="5">
        <v>9</v>
      </c>
      <c r="B11" s="5">
        <v>261151</v>
      </c>
      <c r="C11" s="7" t="s">
        <v>367</v>
      </c>
      <c r="D11" s="5">
        <v>75340874</v>
      </c>
      <c r="E11" s="5" t="s">
        <v>80</v>
      </c>
      <c r="F11" s="5"/>
      <c r="G11" s="5"/>
      <c r="H11" s="5"/>
      <c r="I11" s="6" t="s">
        <v>659</v>
      </c>
    </row>
    <row r="12" spans="1:9" x14ac:dyDescent="0.25">
      <c r="A12" s="5">
        <v>10</v>
      </c>
      <c r="B12" s="5">
        <v>261164</v>
      </c>
      <c r="C12" s="7" t="s">
        <v>393</v>
      </c>
      <c r="D12" s="5">
        <v>61128494</v>
      </c>
      <c r="E12" s="5" t="s">
        <v>80</v>
      </c>
      <c r="F12" s="5"/>
      <c r="G12" s="5"/>
      <c r="H12" s="5"/>
      <c r="I12" s="6" t="s">
        <v>659</v>
      </c>
    </row>
    <row r="13" spans="1:9" x14ac:dyDescent="0.25">
      <c r="A13" s="5">
        <v>11</v>
      </c>
      <c r="B13" s="5">
        <v>261135</v>
      </c>
      <c r="C13" s="7" t="s">
        <v>333</v>
      </c>
      <c r="D13" s="5">
        <v>61518639</v>
      </c>
      <c r="E13" s="5" t="s">
        <v>80</v>
      </c>
      <c r="F13" s="5"/>
      <c r="G13" s="5"/>
      <c r="H13" s="5"/>
      <c r="I13" s="6" t="s">
        <v>659</v>
      </c>
    </row>
    <row r="14" spans="1:9" x14ac:dyDescent="0.25">
      <c r="A14" s="5">
        <v>12</v>
      </c>
      <c r="B14" s="5">
        <v>261118</v>
      </c>
      <c r="C14" s="7" t="s">
        <v>297</v>
      </c>
      <c r="D14" s="5">
        <v>61443656</v>
      </c>
      <c r="E14" s="5" t="s">
        <v>80</v>
      </c>
      <c r="F14" s="5"/>
      <c r="G14" s="5"/>
      <c r="H14" s="5"/>
      <c r="I14" s="6" t="s">
        <v>659</v>
      </c>
    </row>
    <row r="15" spans="1:9" x14ac:dyDescent="0.25">
      <c r="A15" s="5">
        <v>13</v>
      </c>
      <c r="B15" s="5">
        <v>261050</v>
      </c>
      <c r="C15" s="7" t="s">
        <v>148</v>
      </c>
      <c r="D15" s="5">
        <v>80919842</v>
      </c>
      <c r="E15" s="5" t="s">
        <v>80</v>
      </c>
      <c r="F15" s="5"/>
      <c r="G15" s="5"/>
      <c r="H15" s="5"/>
      <c r="I15" s="6" t="s">
        <v>659</v>
      </c>
    </row>
    <row r="16" spans="1:9" x14ac:dyDescent="0.25">
      <c r="A16" s="5">
        <v>14</v>
      </c>
      <c r="B16" s="5">
        <v>261188</v>
      </c>
      <c r="C16" s="7" t="s">
        <v>441</v>
      </c>
      <c r="D16" s="5">
        <v>61315522</v>
      </c>
      <c r="E16" s="5" t="s">
        <v>80</v>
      </c>
      <c r="F16" s="5"/>
      <c r="G16" s="5"/>
      <c r="H16" s="5"/>
      <c r="I16" s="6" t="s">
        <v>659</v>
      </c>
    </row>
    <row r="17" spans="1:9" x14ac:dyDescent="0.25">
      <c r="A17" s="5">
        <v>15</v>
      </c>
      <c r="B17" s="5">
        <v>261098</v>
      </c>
      <c r="C17" s="7" t="s">
        <v>260</v>
      </c>
      <c r="D17" s="5">
        <v>72830781</v>
      </c>
      <c r="E17" s="5" t="s">
        <v>80</v>
      </c>
      <c r="F17" s="5"/>
      <c r="G17" s="5"/>
      <c r="H17" s="5"/>
      <c r="I17" s="6" t="s">
        <v>659</v>
      </c>
    </row>
    <row r="18" spans="1:9" x14ac:dyDescent="0.25">
      <c r="A18" s="5">
        <v>16</v>
      </c>
      <c r="B18" s="5">
        <v>261077</v>
      </c>
      <c r="C18" s="7" t="s">
        <v>217</v>
      </c>
      <c r="D18" s="5">
        <v>62052006</v>
      </c>
      <c r="E18" s="5" t="s">
        <v>80</v>
      </c>
      <c r="F18" s="5"/>
      <c r="G18" s="5"/>
      <c r="H18" s="5"/>
      <c r="I18" s="6" t="s">
        <v>658</v>
      </c>
    </row>
    <row r="19" spans="1:9" x14ac:dyDescent="0.25">
      <c r="A19" s="5">
        <v>17</v>
      </c>
      <c r="B19" s="5">
        <v>261142</v>
      </c>
      <c r="C19" s="7" t="s">
        <v>346</v>
      </c>
      <c r="D19" s="5">
        <v>61315609</v>
      </c>
      <c r="E19" s="5" t="s">
        <v>80</v>
      </c>
      <c r="F19" s="5"/>
      <c r="G19" s="5"/>
      <c r="H19" s="5"/>
      <c r="I19" s="6" t="s">
        <v>658</v>
      </c>
    </row>
    <row r="20" spans="1:9" x14ac:dyDescent="0.25">
      <c r="A20" s="5">
        <v>18</v>
      </c>
      <c r="B20" s="5">
        <v>261250</v>
      </c>
      <c r="C20" s="7" t="s">
        <v>569</v>
      </c>
      <c r="D20" s="5">
        <v>61443863</v>
      </c>
      <c r="E20" s="5" t="s">
        <v>80</v>
      </c>
      <c r="F20" s="5"/>
      <c r="G20" s="5"/>
      <c r="H20" s="5"/>
      <c r="I20" s="6" t="s">
        <v>659</v>
      </c>
    </row>
    <row r="21" spans="1:9" x14ac:dyDescent="0.25">
      <c r="A21" s="5">
        <v>19</v>
      </c>
      <c r="B21" s="5">
        <v>261272</v>
      </c>
      <c r="C21" s="7" t="s">
        <v>608</v>
      </c>
      <c r="D21" s="5">
        <v>61960423</v>
      </c>
      <c r="E21" s="5" t="s">
        <v>80</v>
      </c>
      <c r="F21" s="5"/>
      <c r="G21" s="5"/>
      <c r="H21" s="5"/>
      <c r="I21" s="6" t="s">
        <v>659</v>
      </c>
    </row>
    <row r="22" spans="1:9" x14ac:dyDescent="0.25">
      <c r="A22" s="5">
        <v>20</v>
      </c>
      <c r="B22" s="5">
        <v>261201</v>
      </c>
      <c r="C22" s="7" t="s">
        <v>469</v>
      </c>
      <c r="D22" s="5">
        <v>62051747</v>
      </c>
      <c r="E22" s="5" t="s">
        <v>80</v>
      </c>
      <c r="F22" s="5"/>
      <c r="G22" s="5"/>
      <c r="H22" s="5"/>
      <c r="I22" s="6" t="s">
        <v>659</v>
      </c>
    </row>
    <row r="23" spans="1:9" x14ac:dyDescent="0.25">
      <c r="A23" s="5">
        <v>21</v>
      </c>
      <c r="B23" s="5">
        <v>261256</v>
      </c>
      <c r="C23" s="7" t="s">
        <v>579</v>
      </c>
      <c r="D23" s="5">
        <v>75685364</v>
      </c>
      <c r="E23" s="5" t="s">
        <v>80</v>
      </c>
      <c r="F23" s="5"/>
      <c r="G23" s="5"/>
      <c r="H23" s="5"/>
      <c r="I23" s="6" t="s">
        <v>659</v>
      </c>
    </row>
    <row r="24" spans="1:9" x14ac:dyDescent="0.25">
      <c r="A24" s="5">
        <v>22</v>
      </c>
      <c r="B24" s="5">
        <v>261086</v>
      </c>
      <c r="C24" s="7" t="s">
        <v>236</v>
      </c>
      <c r="D24" s="5">
        <v>61562714</v>
      </c>
      <c r="E24" s="5" t="s">
        <v>80</v>
      </c>
      <c r="F24" s="5"/>
      <c r="G24" s="5"/>
      <c r="H24" s="5"/>
      <c r="I24" s="6" t="s">
        <v>659</v>
      </c>
    </row>
    <row r="25" spans="1:9" x14ac:dyDescent="0.25">
      <c r="A25" s="5">
        <v>23</v>
      </c>
      <c r="B25" s="5">
        <v>261202</v>
      </c>
      <c r="C25" s="7" t="s">
        <v>471</v>
      </c>
      <c r="D25" s="5">
        <v>61525932</v>
      </c>
      <c r="E25" s="5" t="s">
        <v>80</v>
      </c>
      <c r="F25" s="5"/>
      <c r="G25" s="5"/>
      <c r="H25" s="5"/>
      <c r="I25" s="6" t="s">
        <v>658</v>
      </c>
    </row>
    <row r="26" spans="1:9" x14ac:dyDescent="0.25">
      <c r="A26" s="5">
        <v>24</v>
      </c>
      <c r="B26" s="5">
        <v>261245</v>
      </c>
      <c r="C26" s="7" t="s">
        <v>559</v>
      </c>
      <c r="D26" s="5">
        <v>60344900</v>
      </c>
      <c r="E26" s="5" t="s">
        <v>80</v>
      </c>
      <c r="F26" s="5"/>
      <c r="G26" s="5"/>
      <c r="H26" s="5"/>
      <c r="I26" s="6" t="s">
        <v>658</v>
      </c>
    </row>
    <row r="27" spans="1:9" x14ac:dyDescent="0.25">
      <c r="A27" s="5">
        <v>25</v>
      </c>
      <c r="B27" s="5">
        <v>261107</v>
      </c>
      <c r="C27" s="7" t="s">
        <v>276</v>
      </c>
      <c r="D27" s="5">
        <v>61030591</v>
      </c>
      <c r="E27" s="5" t="s">
        <v>80</v>
      </c>
      <c r="F27" s="5"/>
      <c r="G27" s="5"/>
      <c r="H27" s="5"/>
      <c r="I27" s="6" t="s">
        <v>659</v>
      </c>
    </row>
    <row r="28" spans="1:9" x14ac:dyDescent="0.25">
      <c r="A28" s="5">
        <v>26</v>
      </c>
      <c r="B28" s="5">
        <v>261225</v>
      </c>
      <c r="C28" s="7" t="s">
        <v>520</v>
      </c>
      <c r="D28" s="5">
        <v>62051669</v>
      </c>
      <c r="E28" s="5" t="s">
        <v>80</v>
      </c>
      <c r="F28" s="5"/>
      <c r="G28" s="5"/>
      <c r="H28" s="5"/>
      <c r="I28" s="6" t="s">
        <v>659</v>
      </c>
    </row>
    <row r="29" spans="1:9" x14ac:dyDescent="0.25">
      <c r="A29" s="5">
        <v>27</v>
      </c>
      <c r="B29" s="5">
        <v>261040</v>
      </c>
      <c r="C29" s="7" t="s">
        <v>126</v>
      </c>
      <c r="D29" s="5">
        <v>72585885</v>
      </c>
      <c r="E29" s="5" t="s">
        <v>80</v>
      </c>
      <c r="F29" s="5"/>
      <c r="G29" s="5"/>
      <c r="H29" s="5"/>
      <c r="I29" s="6" t="s">
        <v>659</v>
      </c>
    </row>
    <row r="30" spans="1:9" x14ac:dyDescent="0.25">
      <c r="A30" s="5">
        <v>28</v>
      </c>
      <c r="B30" s="5">
        <v>261240</v>
      </c>
      <c r="C30" s="7" t="s">
        <v>550</v>
      </c>
      <c r="D30" s="5">
        <v>61525877</v>
      </c>
      <c r="E30" s="5" t="s">
        <v>80</v>
      </c>
      <c r="F30" s="5"/>
      <c r="G30" s="5"/>
      <c r="H30" s="5"/>
      <c r="I30" s="6" t="s">
        <v>659</v>
      </c>
    </row>
    <row r="31" spans="1:9" x14ac:dyDescent="0.25">
      <c r="A31" s="5">
        <v>29</v>
      </c>
      <c r="B31" s="5">
        <v>261087</v>
      </c>
      <c r="C31" s="7" t="s">
        <v>237</v>
      </c>
      <c r="D31" s="5">
        <v>60383210</v>
      </c>
      <c r="E31" s="5" t="s">
        <v>80</v>
      </c>
      <c r="F31" s="5"/>
      <c r="G31" s="5"/>
      <c r="H31" s="5"/>
      <c r="I31" s="6" t="s">
        <v>659</v>
      </c>
    </row>
    <row r="32" spans="1:9" x14ac:dyDescent="0.25">
      <c r="A32" s="5">
        <v>30</v>
      </c>
      <c r="B32" s="5">
        <v>261073</v>
      </c>
      <c r="C32" s="7" t="s">
        <v>209</v>
      </c>
      <c r="D32" s="5">
        <v>71682084</v>
      </c>
      <c r="E32" s="5" t="s">
        <v>80</v>
      </c>
      <c r="F32" s="5"/>
      <c r="G32" s="5"/>
      <c r="H32" s="5"/>
      <c r="I32" s="6" t="s">
        <v>659</v>
      </c>
    </row>
    <row r="33" spans="1:9" x14ac:dyDescent="0.25">
      <c r="A33" s="5">
        <v>31</v>
      </c>
      <c r="B33" s="5">
        <v>261021</v>
      </c>
      <c r="C33" s="7" t="s">
        <v>79</v>
      </c>
      <c r="D33" s="5">
        <v>61428690</v>
      </c>
      <c r="E33" s="5" t="s">
        <v>80</v>
      </c>
      <c r="F33" s="5"/>
      <c r="G33" s="5"/>
      <c r="H33" s="5"/>
      <c r="I33" s="6" t="s">
        <v>659</v>
      </c>
    </row>
    <row r="34" spans="1:9" x14ac:dyDescent="0.25">
      <c r="A34" s="5">
        <v>32</v>
      </c>
      <c r="B34" s="5">
        <v>261024</v>
      </c>
      <c r="C34" s="7" t="s">
        <v>86</v>
      </c>
      <c r="D34" s="5">
        <v>60351585</v>
      </c>
      <c r="E34" s="5" t="s">
        <v>80</v>
      </c>
      <c r="F34" s="5"/>
      <c r="G34" s="5"/>
      <c r="H34" s="5"/>
      <c r="I34" s="6" t="s">
        <v>659</v>
      </c>
    </row>
    <row r="35" spans="1:9" x14ac:dyDescent="0.25">
      <c r="A35" s="5">
        <v>33</v>
      </c>
      <c r="B35" s="5">
        <v>261054</v>
      </c>
      <c r="C35" s="7" t="s">
        <v>160</v>
      </c>
      <c r="D35" s="5">
        <v>62229140</v>
      </c>
      <c r="E35" s="5" t="s">
        <v>80</v>
      </c>
      <c r="F35" s="5"/>
      <c r="G35" s="5"/>
      <c r="H35" s="5"/>
      <c r="I35" s="6" t="s">
        <v>659</v>
      </c>
    </row>
    <row r="36" spans="1:9" x14ac:dyDescent="0.25">
      <c r="A36" s="5">
        <v>34</v>
      </c>
      <c r="B36" s="5">
        <v>261064</v>
      </c>
      <c r="C36" s="7" t="s">
        <v>184</v>
      </c>
      <c r="D36" s="5">
        <v>61653826</v>
      </c>
      <c r="E36" s="5" t="s">
        <v>80</v>
      </c>
      <c r="F36" s="5"/>
      <c r="G36" s="5"/>
      <c r="H36" s="5"/>
      <c r="I36" s="6" t="s">
        <v>659</v>
      </c>
    </row>
    <row r="37" spans="1:9" x14ac:dyDescent="0.25">
      <c r="A37" s="5">
        <v>35</v>
      </c>
      <c r="B37" s="5">
        <v>261224</v>
      </c>
      <c r="C37" s="7" t="s">
        <v>518</v>
      </c>
      <c r="D37" s="5">
        <v>61514297</v>
      </c>
      <c r="E37" s="5" t="s">
        <v>80</v>
      </c>
      <c r="F37" s="5"/>
      <c r="G37" s="5"/>
      <c r="H37" s="5"/>
      <c r="I37" s="6" t="s">
        <v>659</v>
      </c>
    </row>
    <row r="38" spans="1:9" x14ac:dyDescent="0.25">
      <c r="A38" s="5">
        <v>36</v>
      </c>
      <c r="B38" s="5">
        <v>261157</v>
      </c>
      <c r="C38" s="7" t="s">
        <v>378</v>
      </c>
      <c r="D38" s="5">
        <v>60371765</v>
      </c>
      <c r="E38" s="5" t="s">
        <v>80</v>
      </c>
      <c r="F38" s="5"/>
      <c r="G38" s="5"/>
      <c r="H38" s="5"/>
      <c r="I38" s="6" t="s">
        <v>659</v>
      </c>
    </row>
    <row r="39" spans="1:9" x14ac:dyDescent="0.25">
      <c r="A39" s="5">
        <v>37</v>
      </c>
      <c r="B39" s="5">
        <v>261112</v>
      </c>
      <c r="C39" s="7" t="s">
        <v>286</v>
      </c>
      <c r="D39" s="5">
        <v>61525677</v>
      </c>
      <c r="E39" s="5" t="s">
        <v>80</v>
      </c>
      <c r="F39" s="5"/>
      <c r="G39" s="5"/>
      <c r="H39" s="5"/>
      <c r="I39" s="6" t="s">
        <v>659</v>
      </c>
    </row>
    <row r="40" spans="1:9" x14ac:dyDescent="0.25">
      <c r="A40" s="5">
        <v>38</v>
      </c>
      <c r="B40" s="5">
        <v>261177</v>
      </c>
      <c r="C40" s="7" t="s">
        <v>418</v>
      </c>
      <c r="D40" s="5">
        <v>60077388</v>
      </c>
      <c r="E40" s="5" t="s">
        <v>80</v>
      </c>
      <c r="F40" s="5"/>
      <c r="G40" s="5"/>
      <c r="H40" s="5"/>
      <c r="I40" s="6" t="s">
        <v>659</v>
      </c>
    </row>
    <row r="41" spans="1:9" x14ac:dyDescent="0.25">
      <c r="A41" s="5">
        <v>39</v>
      </c>
      <c r="B41" s="5">
        <v>261047</v>
      </c>
      <c r="C41" s="7" t="s">
        <v>141</v>
      </c>
      <c r="D41" s="5">
        <v>61514383</v>
      </c>
      <c r="E41" s="5" t="s">
        <v>80</v>
      </c>
      <c r="F41" s="5"/>
      <c r="G41" s="5"/>
      <c r="H41" s="5"/>
      <c r="I41" s="6" t="s">
        <v>659</v>
      </c>
    </row>
    <row r="42" spans="1:9" x14ac:dyDescent="0.25">
      <c r="A42" s="5">
        <v>40</v>
      </c>
      <c r="B42" s="5">
        <v>261207</v>
      </c>
      <c r="C42" s="7" t="s">
        <v>482</v>
      </c>
      <c r="D42" s="5">
        <v>61431636</v>
      </c>
      <c r="E42" s="5" t="s">
        <v>80</v>
      </c>
      <c r="F42" s="5"/>
      <c r="G42" s="5"/>
      <c r="H42" s="5"/>
      <c r="I42" s="6" t="s">
        <v>658</v>
      </c>
    </row>
    <row r="43" spans="1:9" x14ac:dyDescent="0.25">
      <c r="A43" s="5">
        <v>41</v>
      </c>
      <c r="B43" s="5">
        <v>261057</v>
      </c>
      <c r="C43" s="7" t="s">
        <v>168</v>
      </c>
      <c r="D43" s="5">
        <v>60071426</v>
      </c>
      <c r="E43" s="5" t="s">
        <v>80</v>
      </c>
      <c r="F43" s="5"/>
      <c r="G43" s="5"/>
      <c r="H43" s="5"/>
      <c r="I43" s="6" t="s">
        <v>659</v>
      </c>
    </row>
    <row r="44" spans="1:9" x14ac:dyDescent="0.25">
      <c r="A44" s="5">
        <v>42</v>
      </c>
      <c r="B44" s="5">
        <v>261070</v>
      </c>
      <c r="C44" s="7" t="s">
        <v>201</v>
      </c>
      <c r="D44" s="5">
        <v>62041254</v>
      </c>
      <c r="E44" s="5" t="s">
        <v>80</v>
      </c>
      <c r="F44" s="5"/>
      <c r="G44" s="5"/>
      <c r="H44" s="5"/>
      <c r="I44" s="6" t="s">
        <v>659</v>
      </c>
    </row>
    <row r="45" spans="1:9" x14ac:dyDescent="0.25">
      <c r="A45" s="5">
        <v>43</v>
      </c>
      <c r="B45" s="5">
        <v>261172</v>
      </c>
      <c r="C45" s="7" t="s">
        <v>410</v>
      </c>
      <c r="D45" s="5">
        <v>61525857</v>
      </c>
      <c r="E45" s="5" t="s">
        <v>80</v>
      </c>
      <c r="F45" s="5"/>
      <c r="G45" s="5"/>
      <c r="H45" s="5"/>
      <c r="I45" s="6" t="s">
        <v>659</v>
      </c>
    </row>
    <row r="46" spans="1:9" x14ac:dyDescent="0.25">
      <c r="A46" s="5">
        <v>44</v>
      </c>
      <c r="B46" s="5">
        <v>261130</v>
      </c>
      <c r="C46" s="7" t="s">
        <v>322</v>
      </c>
      <c r="D46" s="5">
        <v>61428675</v>
      </c>
      <c r="E46" s="5" t="s">
        <v>80</v>
      </c>
      <c r="F46" s="5"/>
      <c r="G46" s="5"/>
      <c r="H46" s="5"/>
      <c r="I46" s="6" t="s">
        <v>659</v>
      </c>
    </row>
    <row r="47" spans="1:9" x14ac:dyDescent="0.25">
      <c r="A47" s="5">
        <v>45</v>
      </c>
      <c r="B47" s="5">
        <v>261121</v>
      </c>
      <c r="C47" s="7" t="s">
        <v>303</v>
      </c>
      <c r="D47" s="5">
        <v>76577380</v>
      </c>
      <c r="E47" s="5" t="s">
        <v>80</v>
      </c>
      <c r="F47" s="5"/>
      <c r="G47" s="5"/>
      <c r="H47" s="5"/>
      <c r="I47" s="6" t="s">
        <v>659</v>
      </c>
    </row>
    <row r="48" spans="1:9" x14ac:dyDescent="0.25">
      <c r="A48" s="5">
        <v>46</v>
      </c>
      <c r="B48" s="5">
        <v>261147</v>
      </c>
      <c r="C48" s="7" t="s">
        <v>359</v>
      </c>
      <c r="D48" s="5">
        <v>61555973</v>
      </c>
      <c r="E48" s="5" t="s">
        <v>80</v>
      </c>
      <c r="F48" s="5"/>
      <c r="G48" s="5"/>
      <c r="H48" s="5"/>
      <c r="I48" s="6" t="s">
        <v>659</v>
      </c>
    </row>
    <row r="49" spans="1:9" x14ac:dyDescent="0.25">
      <c r="A49" s="5">
        <v>47</v>
      </c>
      <c r="B49" s="5">
        <v>261082</v>
      </c>
      <c r="C49" s="7" t="s">
        <v>228</v>
      </c>
      <c r="D49" s="5">
        <v>61779697</v>
      </c>
      <c r="E49" s="5" t="s">
        <v>80</v>
      </c>
      <c r="F49" s="5"/>
      <c r="G49" s="5"/>
      <c r="H49" s="5"/>
      <c r="I49" s="6" t="s">
        <v>659</v>
      </c>
    </row>
    <row r="50" spans="1:9" x14ac:dyDescent="0.25">
      <c r="A50" s="5">
        <v>48</v>
      </c>
      <c r="B50" s="5">
        <v>261232</v>
      </c>
      <c r="C50" s="7" t="s">
        <v>536</v>
      </c>
      <c r="D50" s="5">
        <v>61443398</v>
      </c>
      <c r="E50" s="5" t="s">
        <v>80</v>
      </c>
      <c r="F50" s="5"/>
      <c r="G50" s="5"/>
      <c r="H50" s="5"/>
      <c r="I50" s="6" t="s">
        <v>659</v>
      </c>
    </row>
    <row r="51" spans="1:9" x14ac:dyDescent="0.25">
      <c r="A51" s="5">
        <v>49</v>
      </c>
      <c r="B51" s="5">
        <v>261028</v>
      </c>
      <c r="C51" s="7" t="s">
        <v>95</v>
      </c>
      <c r="D51" s="5">
        <v>61525730</v>
      </c>
      <c r="E51" s="5" t="s">
        <v>80</v>
      </c>
      <c r="F51" s="5"/>
      <c r="G51" s="5"/>
      <c r="H51" s="5"/>
      <c r="I51" s="6" t="s">
        <v>659</v>
      </c>
    </row>
    <row r="52" spans="1:9" x14ac:dyDescent="0.25">
      <c r="A52" s="5">
        <v>50</v>
      </c>
      <c r="B52" s="5">
        <v>261195</v>
      </c>
      <c r="C52" s="7" t="s">
        <v>460</v>
      </c>
      <c r="D52" s="5">
        <v>61443576</v>
      </c>
      <c r="E52" s="5" t="s">
        <v>80</v>
      </c>
      <c r="F52" s="5"/>
      <c r="G52" s="5"/>
      <c r="H52" s="5"/>
      <c r="I52" s="6" t="s">
        <v>659</v>
      </c>
    </row>
  </sheetData>
  <autoFilter ref="A1:I51" xr:uid="{EAF1D4CD-4010-4E27-AE86-BC520A9FD7C2}">
    <filterColumn colId="5" showButton="0"/>
    <sortState xmlns:xlrd2="http://schemas.microsoft.com/office/spreadsheetml/2017/richdata2" ref="A4:I52">
      <sortCondition ref="C1:C51"/>
    </sortState>
  </autoFilter>
  <mergeCells count="8">
    <mergeCell ref="H1:H2"/>
    <mergeCell ref="I1:I2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9BCC4-4E49-456A-87B9-B01CF7CF197B}">
  <sheetPr codeName="Hoja6"/>
  <dimension ref="A1:I52"/>
  <sheetViews>
    <sheetView topLeftCell="A34" workbookViewId="0">
      <selection activeCell="I6" sqref="I6"/>
    </sheetView>
  </sheetViews>
  <sheetFormatPr baseColWidth="10" defaultRowHeight="15" x14ac:dyDescent="0.25"/>
  <cols>
    <col min="1" max="1" width="4" style="2" bestFit="1" customWidth="1"/>
    <col min="2" max="2" width="8.7109375" style="2" customWidth="1"/>
    <col min="3" max="3" width="50" style="2" bestFit="1" customWidth="1"/>
    <col min="4" max="4" width="10" style="2" bestFit="1" customWidth="1"/>
    <col min="5" max="5" width="18.85546875" style="2" customWidth="1"/>
    <col min="6" max="6" width="6.140625" style="2" customWidth="1"/>
    <col min="7" max="7" width="6.140625" style="2" bestFit="1" customWidth="1"/>
    <col min="8" max="8" width="28.5703125" style="2" customWidth="1"/>
    <col min="9" max="9" width="5.42578125" style="3" customWidth="1"/>
  </cols>
  <sheetData>
    <row r="1" spans="1:9" ht="15" customHeight="1" x14ac:dyDescent="0.25">
      <c r="A1" s="15" t="s">
        <v>649</v>
      </c>
      <c r="B1" s="15" t="s">
        <v>650</v>
      </c>
      <c r="C1" s="15" t="s">
        <v>651</v>
      </c>
      <c r="D1" s="15" t="s">
        <v>0</v>
      </c>
      <c r="E1" s="15" t="s">
        <v>652</v>
      </c>
      <c r="F1" s="17" t="s">
        <v>663</v>
      </c>
      <c r="G1" s="17"/>
      <c r="H1" s="15" t="s">
        <v>656</v>
      </c>
      <c r="I1" s="16" t="s">
        <v>657</v>
      </c>
    </row>
    <row r="2" spans="1:9" ht="15" customHeight="1" x14ac:dyDescent="0.25">
      <c r="A2" s="15"/>
      <c r="B2" s="15"/>
      <c r="C2" s="15"/>
      <c r="D2" s="15"/>
      <c r="E2" s="15"/>
      <c r="F2" s="8" t="s">
        <v>661</v>
      </c>
      <c r="G2" s="8" t="s">
        <v>662</v>
      </c>
      <c r="H2" s="15"/>
      <c r="I2" s="16"/>
    </row>
    <row r="3" spans="1:9" x14ac:dyDescent="0.25">
      <c r="A3" s="5">
        <v>1</v>
      </c>
      <c r="B3" s="5">
        <v>261025</v>
      </c>
      <c r="C3" s="7" t="s">
        <v>89</v>
      </c>
      <c r="D3" s="5">
        <v>614437842</v>
      </c>
      <c r="E3" s="5" t="s">
        <v>27</v>
      </c>
      <c r="F3" s="5"/>
      <c r="G3" s="5"/>
      <c r="H3" s="5"/>
      <c r="I3" s="6" t="s">
        <v>659</v>
      </c>
    </row>
    <row r="4" spans="1:9" x14ac:dyDescent="0.25">
      <c r="A4" s="5">
        <v>2</v>
      </c>
      <c r="B4" s="5">
        <v>261152</v>
      </c>
      <c r="C4" s="7" t="s">
        <v>369</v>
      </c>
      <c r="D4" s="5">
        <v>61428620</v>
      </c>
      <c r="E4" s="5" t="s">
        <v>27</v>
      </c>
      <c r="F4" s="5"/>
      <c r="G4" s="5"/>
      <c r="H4" s="5"/>
      <c r="I4" s="6" t="s">
        <v>659</v>
      </c>
    </row>
    <row r="5" spans="1:9" x14ac:dyDescent="0.25">
      <c r="A5" s="5">
        <v>3</v>
      </c>
      <c r="B5" s="5">
        <v>261205</v>
      </c>
      <c r="C5" s="7" t="s">
        <v>478</v>
      </c>
      <c r="D5" s="5">
        <v>61779665</v>
      </c>
      <c r="E5" s="5" t="s">
        <v>27</v>
      </c>
      <c r="F5" s="5"/>
      <c r="G5" s="5"/>
      <c r="H5" s="5"/>
      <c r="I5" s="6" t="s">
        <v>659</v>
      </c>
    </row>
    <row r="6" spans="1:9" x14ac:dyDescent="0.25">
      <c r="A6" s="5">
        <v>4</v>
      </c>
      <c r="B6" s="5">
        <v>261173</v>
      </c>
      <c r="C6" s="7" t="s">
        <v>412</v>
      </c>
      <c r="D6" s="5">
        <v>61525755</v>
      </c>
      <c r="E6" s="5" t="s">
        <v>27</v>
      </c>
      <c r="F6" s="5"/>
      <c r="G6" s="5"/>
      <c r="H6" s="5"/>
      <c r="I6" s="6" t="s">
        <v>658</v>
      </c>
    </row>
    <row r="7" spans="1:9" x14ac:dyDescent="0.25">
      <c r="A7" s="5">
        <v>5</v>
      </c>
      <c r="B7" s="5">
        <v>261014</v>
      </c>
      <c r="C7" s="7" t="s">
        <v>61</v>
      </c>
      <c r="D7" s="5">
        <v>77437906</v>
      </c>
      <c r="E7" s="5" t="s">
        <v>27</v>
      </c>
      <c r="F7" s="5"/>
      <c r="G7" s="5"/>
      <c r="H7" s="5"/>
      <c r="I7" s="6" t="s">
        <v>659</v>
      </c>
    </row>
    <row r="8" spans="1:9" x14ac:dyDescent="0.25">
      <c r="A8" s="5">
        <v>6</v>
      </c>
      <c r="B8" s="5">
        <v>261246</v>
      </c>
      <c r="C8" s="7" t="s">
        <v>561</v>
      </c>
      <c r="D8" s="5">
        <v>60451277</v>
      </c>
      <c r="E8" s="5" t="s">
        <v>27</v>
      </c>
      <c r="F8" s="5"/>
      <c r="G8" s="5"/>
      <c r="H8" s="5"/>
      <c r="I8" s="6" t="s">
        <v>658</v>
      </c>
    </row>
    <row r="9" spans="1:9" x14ac:dyDescent="0.25">
      <c r="A9" s="5">
        <v>7</v>
      </c>
      <c r="B9" s="5">
        <v>261016</v>
      </c>
      <c r="C9" s="7" t="s">
        <v>65</v>
      </c>
      <c r="D9" s="5">
        <v>61562682</v>
      </c>
      <c r="E9" s="5" t="s">
        <v>27</v>
      </c>
      <c r="F9" s="5"/>
      <c r="G9" s="5"/>
      <c r="H9" s="5"/>
      <c r="I9" s="6" t="s">
        <v>659</v>
      </c>
    </row>
    <row r="10" spans="1:9" x14ac:dyDescent="0.25">
      <c r="A10" s="5">
        <v>8</v>
      </c>
      <c r="B10" s="5">
        <v>261206</v>
      </c>
      <c r="C10" s="7" t="s">
        <v>480</v>
      </c>
      <c r="D10" s="5">
        <v>60071077</v>
      </c>
      <c r="E10" s="5" t="s">
        <v>27</v>
      </c>
      <c r="F10" s="5"/>
      <c r="G10" s="5"/>
      <c r="H10" s="5"/>
      <c r="I10" s="6" t="s">
        <v>659</v>
      </c>
    </row>
    <row r="11" spans="1:9" x14ac:dyDescent="0.25">
      <c r="A11" s="5">
        <v>9</v>
      </c>
      <c r="B11" s="5">
        <v>261262</v>
      </c>
      <c r="C11" s="7" t="s">
        <v>590</v>
      </c>
      <c r="D11" s="5">
        <v>61389799</v>
      </c>
      <c r="E11" s="5" t="s">
        <v>27</v>
      </c>
      <c r="F11" s="5"/>
      <c r="G11" s="5"/>
      <c r="H11" s="5"/>
      <c r="I11" s="6" t="s">
        <v>659</v>
      </c>
    </row>
    <row r="12" spans="1:9" x14ac:dyDescent="0.25">
      <c r="A12" s="5">
        <v>10</v>
      </c>
      <c r="B12" s="5">
        <v>261291</v>
      </c>
      <c r="C12" s="7" t="s">
        <v>646</v>
      </c>
      <c r="D12" s="5">
        <v>76729639</v>
      </c>
      <c r="E12" s="5" t="s">
        <v>27</v>
      </c>
      <c r="F12" s="5"/>
      <c r="G12" s="5"/>
      <c r="H12" s="5"/>
      <c r="I12" s="6" t="s">
        <v>659</v>
      </c>
    </row>
    <row r="13" spans="1:9" x14ac:dyDescent="0.25">
      <c r="A13" s="5">
        <v>11</v>
      </c>
      <c r="B13" s="5">
        <v>261140</v>
      </c>
      <c r="C13" s="7" t="s">
        <v>342</v>
      </c>
      <c r="D13" s="5">
        <v>61611471</v>
      </c>
      <c r="E13" s="5" t="s">
        <v>27</v>
      </c>
      <c r="F13" s="5"/>
      <c r="G13" s="5"/>
      <c r="H13" s="5"/>
      <c r="I13" s="6" t="s">
        <v>658</v>
      </c>
    </row>
    <row r="14" spans="1:9" x14ac:dyDescent="0.25">
      <c r="A14" s="5">
        <v>12</v>
      </c>
      <c r="B14" s="5">
        <v>261285</v>
      </c>
      <c r="C14" s="7" t="s">
        <v>636</v>
      </c>
      <c r="D14" s="5">
        <v>74177742</v>
      </c>
      <c r="E14" s="5" t="s">
        <v>27</v>
      </c>
      <c r="F14" s="5"/>
      <c r="G14" s="5"/>
      <c r="H14" s="5"/>
      <c r="I14" s="6" t="s">
        <v>659</v>
      </c>
    </row>
    <row r="15" spans="1:9" x14ac:dyDescent="0.25">
      <c r="A15" s="5">
        <v>13</v>
      </c>
      <c r="B15" s="5">
        <v>261294</v>
      </c>
      <c r="C15" s="7" t="s">
        <v>665</v>
      </c>
      <c r="D15" s="5">
        <v>62739109</v>
      </c>
      <c r="E15" s="5" t="s">
        <v>27</v>
      </c>
      <c r="F15" s="5"/>
      <c r="G15" s="5"/>
      <c r="H15" s="5"/>
      <c r="I15" s="6" t="s">
        <v>659</v>
      </c>
    </row>
    <row r="16" spans="1:9" x14ac:dyDescent="0.25">
      <c r="A16" s="5">
        <v>14</v>
      </c>
      <c r="B16" s="5">
        <v>261259</v>
      </c>
      <c r="C16" s="7" t="s">
        <v>585</v>
      </c>
      <c r="D16" s="5">
        <v>61779548</v>
      </c>
      <c r="E16" s="5" t="s">
        <v>27</v>
      </c>
      <c r="F16" s="5"/>
      <c r="G16" s="5"/>
      <c r="H16" s="5"/>
      <c r="I16" s="6" t="s">
        <v>659</v>
      </c>
    </row>
    <row r="17" spans="1:9" x14ac:dyDescent="0.25">
      <c r="A17" s="5">
        <v>15</v>
      </c>
      <c r="B17" s="5">
        <v>261187</v>
      </c>
      <c r="C17" s="7" t="s">
        <v>440</v>
      </c>
      <c r="D17" s="5">
        <v>60672466</v>
      </c>
      <c r="E17" s="5" t="s">
        <v>27</v>
      </c>
      <c r="F17" s="5"/>
      <c r="G17" s="5"/>
      <c r="H17" s="5"/>
      <c r="I17" s="6" t="s">
        <v>659</v>
      </c>
    </row>
    <row r="18" spans="1:9" x14ac:dyDescent="0.25">
      <c r="A18" s="5">
        <v>16</v>
      </c>
      <c r="B18" s="5">
        <v>261006</v>
      </c>
      <c r="C18" s="7" t="s">
        <v>34</v>
      </c>
      <c r="D18" s="5">
        <v>61042062</v>
      </c>
      <c r="E18" s="5" t="s">
        <v>27</v>
      </c>
      <c r="F18" s="5"/>
      <c r="G18" s="5"/>
      <c r="H18" s="5"/>
      <c r="I18" s="6" t="s">
        <v>658</v>
      </c>
    </row>
    <row r="19" spans="1:9" x14ac:dyDescent="0.25">
      <c r="A19" s="5">
        <v>17</v>
      </c>
      <c r="B19" s="5">
        <v>261023</v>
      </c>
      <c r="C19" s="7" t="s">
        <v>84</v>
      </c>
      <c r="D19" s="5">
        <v>72036300</v>
      </c>
      <c r="E19" s="5" t="s">
        <v>27</v>
      </c>
      <c r="F19" s="5"/>
      <c r="G19" s="5"/>
      <c r="H19" s="5"/>
      <c r="I19" s="6" t="s">
        <v>659</v>
      </c>
    </row>
    <row r="20" spans="1:9" x14ac:dyDescent="0.25">
      <c r="A20" s="5">
        <v>18</v>
      </c>
      <c r="B20" s="5">
        <v>261169</v>
      </c>
      <c r="C20" s="7" t="s">
        <v>403</v>
      </c>
      <c r="D20" s="5">
        <v>61514391</v>
      </c>
      <c r="E20" s="5" t="s">
        <v>27</v>
      </c>
      <c r="F20" s="5"/>
      <c r="G20" s="5"/>
      <c r="H20" s="5"/>
      <c r="I20" s="6" t="s">
        <v>659</v>
      </c>
    </row>
    <row r="21" spans="1:9" x14ac:dyDescent="0.25">
      <c r="A21" s="5">
        <v>19</v>
      </c>
      <c r="B21" s="5">
        <v>261184</v>
      </c>
      <c r="C21" s="7" t="s">
        <v>435</v>
      </c>
      <c r="D21" s="5">
        <v>61428674</v>
      </c>
      <c r="E21" s="5" t="s">
        <v>27</v>
      </c>
      <c r="F21" s="5"/>
      <c r="G21" s="5"/>
      <c r="H21" s="5"/>
      <c r="I21" s="6" t="s">
        <v>659</v>
      </c>
    </row>
    <row r="22" spans="1:9" x14ac:dyDescent="0.25">
      <c r="A22" s="5">
        <v>20</v>
      </c>
      <c r="B22" s="5">
        <v>261101</v>
      </c>
      <c r="C22" s="7" t="s">
        <v>264</v>
      </c>
      <c r="D22" s="5">
        <v>61309442</v>
      </c>
      <c r="E22" s="5" t="s">
        <v>27</v>
      </c>
      <c r="F22" s="5"/>
      <c r="G22" s="5"/>
      <c r="H22" s="5"/>
      <c r="I22" s="6" t="s">
        <v>659</v>
      </c>
    </row>
    <row r="23" spans="1:9" x14ac:dyDescent="0.25">
      <c r="A23" s="5">
        <v>21</v>
      </c>
      <c r="B23" s="5">
        <v>261269</v>
      </c>
      <c r="C23" s="7" t="s">
        <v>603</v>
      </c>
      <c r="D23" s="5">
        <v>61443606</v>
      </c>
      <c r="E23" s="5" t="s">
        <v>27</v>
      </c>
      <c r="F23" s="5"/>
      <c r="G23" s="5"/>
      <c r="H23" s="5"/>
      <c r="I23" s="6" t="s">
        <v>659</v>
      </c>
    </row>
    <row r="24" spans="1:9" x14ac:dyDescent="0.25">
      <c r="A24" s="5">
        <v>22</v>
      </c>
      <c r="B24" s="5">
        <v>261234</v>
      </c>
      <c r="C24" s="7" t="s">
        <v>540</v>
      </c>
      <c r="D24" s="5">
        <v>61086102</v>
      </c>
      <c r="E24" s="5" t="s">
        <v>27</v>
      </c>
      <c r="F24" s="5"/>
      <c r="G24" s="5"/>
      <c r="H24" s="5"/>
      <c r="I24" s="6" t="s">
        <v>659</v>
      </c>
    </row>
    <row r="25" spans="1:9" x14ac:dyDescent="0.25">
      <c r="A25" s="5">
        <v>23</v>
      </c>
      <c r="B25" s="5">
        <v>261289</v>
      </c>
      <c r="C25" s="7" t="s">
        <v>643</v>
      </c>
      <c r="D25" s="5">
        <v>61347432</v>
      </c>
      <c r="E25" s="5" t="s">
        <v>27</v>
      </c>
      <c r="F25" s="5"/>
      <c r="G25" s="5"/>
      <c r="H25" s="5"/>
      <c r="I25" s="6" t="s">
        <v>659</v>
      </c>
    </row>
    <row r="26" spans="1:9" x14ac:dyDescent="0.25">
      <c r="A26" s="5">
        <v>24</v>
      </c>
      <c r="B26" s="5">
        <v>261181</v>
      </c>
      <c r="C26" s="7" t="s">
        <v>430</v>
      </c>
      <c r="D26" s="5">
        <v>61309468</v>
      </c>
      <c r="E26" s="5" t="s">
        <v>27</v>
      </c>
      <c r="F26" s="5"/>
      <c r="G26" s="5"/>
      <c r="H26" s="5"/>
      <c r="I26" s="6" t="s">
        <v>659</v>
      </c>
    </row>
    <row r="27" spans="1:9" x14ac:dyDescent="0.25">
      <c r="A27" s="5">
        <v>25</v>
      </c>
      <c r="B27" s="5">
        <v>261141</v>
      </c>
      <c r="C27" s="7" t="s">
        <v>344</v>
      </c>
      <c r="D27" s="5">
        <v>62024934</v>
      </c>
      <c r="E27" s="5" t="s">
        <v>27</v>
      </c>
      <c r="F27" s="5"/>
      <c r="G27" s="5"/>
      <c r="H27" s="5"/>
      <c r="I27" s="6" t="s">
        <v>659</v>
      </c>
    </row>
    <row r="28" spans="1:9" x14ac:dyDescent="0.25">
      <c r="A28" s="5">
        <v>26</v>
      </c>
      <c r="B28" s="5">
        <v>261174</v>
      </c>
      <c r="C28" s="7" t="s">
        <v>413</v>
      </c>
      <c r="D28" s="5">
        <v>60184850</v>
      </c>
      <c r="E28" s="5" t="s">
        <v>27</v>
      </c>
      <c r="F28" s="5"/>
      <c r="G28" s="5"/>
      <c r="H28" s="5"/>
      <c r="I28" s="6" t="s">
        <v>659</v>
      </c>
    </row>
    <row r="29" spans="1:9" x14ac:dyDescent="0.25">
      <c r="A29" s="5">
        <v>27</v>
      </c>
      <c r="B29" s="5">
        <v>261154</v>
      </c>
      <c r="C29" s="7" t="s">
        <v>371</v>
      </c>
      <c r="D29" s="5">
        <v>76651148</v>
      </c>
      <c r="E29" s="5" t="s">
        <v>27</v>
      </c>
      <c r="F29" s="5"/>
      <c r="G29" s="5"/>
      <c r="H29" s="5"/>
      <c r="I29" s="6" t="s">
        <v>658</v>
      </c>
    </row>
    <row r="30" spans="1:9" x14ac:dyDescent="0.25">
      <c r="A30" s="5">
        <v>28</v>
      </c>
      <c r="B30" s="5">
        <v>261223</v>
      </c>
      <c r="C30" s="7" t="s">
        <v>516</v>
      </c>
      <c r="D30" s="5">
        <v>71676723</v>
      </c>
      <c r="E30" s="5" t="s">
        <v>27</v>
      </c>
      <c r="F30" s="5"/>
      <c r="G30" s="5"/>
      <c r="H30" s="5"/>
      <c r="I30" s="6" t="s">
        <v>659</v>
      </c>
    </row>
    <row r="31" spans="1:9" x14ac:dyDescent="0.25">
      <c r="A31" s="5">
        <v>29</v>
      </c>
      <c r="B31" s="5">
        <v>261275</v>
      </c>
      <c r="C31" s="7" t="s">
        <v>614</v>
      </c>
      <c r="D31" s="5">
        <v>73997043</v>
      </c>
      <c r="E31" s="5" t="s">
        <v>27</v>
      </c>
      <c r="F31" s="5"/>
      <c r="G31" s="5"/>
      <c r="H31" s="5"/>
      <c r="I31" s="6" t="s">
        <v>659</v>
      </c>
    </row>
    <row r="32" spans="1:9" x14ac:dyDescent="0.25">
      <c r="A32" s="5">
        <v>30</v>
      </c>
      <c r="B32" s="5">
        <v>261171</v>
      </c>
      <c r="C32" s="7" t="s">
        <v>409</v>
      </c>
      <c r="D32" s="5">
        <v>61428650</v>
      </c>
      <c r="E32" s="5" t="s">
        <v>27</v>
      </c>
      <c r="F32" s="5"/>
      <c r="G32" s="5"/>
      <c r="H32" s="5"/>
      <c r="I32" s="6" t="s">
        <v>659</v>
      </c>
    </row>
    <row r="33" spans="1:9" x14ac:dyDescent="0.25">
      <c r="A33" s="5">
        <v>31</v>
      </c>
      <c r="B33" s="5">
        <v>261219</v>
      </c>
      <c r="C33" s="7" t="s">
        <v>507</v>
      </c>
      <c r="D33" s="5">
        <v>76626520</v>
      </c>
      <c r="E33" s="5" t="s">
        <v>27</v>
      </c>
      <c r="F33" s="5"/>
      <c r="G33" s="5"/>
      <c r="H33" s="5"/>
      <c r="I33" s="6" t="s">
        <v>659</v>
      </c>
    </row>
    <row r="34" spans="1:9" x14ac:dyDescent="0.25">
      <c r="A34" s="5">
        <v>32</v>
      </c>
      <c r="B34" s="5">
        <v>261004</v>
      </c>
      <c r="C34" s="7" t="s">
        <v>26</v>
      </c>
      <c r="D34" s="5">
        <v>81254435</v>
      </c>
      <c r="E34" s="5" t="s">
        <v>27</v>
      </c>
      <c r="F34" s="5"/>
      <c r="G34" s="5"/>
      <c r="H34" s="5"/>
      <c r="I34" s="6" t="s">
        <v>658</v>
      </c>
    </row>
    <row r="35" spans="1:9" x14ac:dyDescent="0.25">
      <c r="A35" s="5">
        <v>33</v>
      </c>
      <c r="B35" s="5">
        <v>261217</v>
      </c>
      <c r="C35" s="7" t="s">
        <v>503</v>
      </c>
      <c r="D35" s="5">
        <v>77482222</v>
      </c>
      <c r="E35" s="5" t="s">
        <v>27</v>
      </c>
      <c r="F35" s="5"/>
      <c r="G35" s="5"/>
      <c r="H35" s="5"/>
      <c r="I35" s="6" t="s">
        <v>658</v>
      </c>
    </row>
    <row r="36" spans="1:9" x14ac:dyDescent="0.25">
      <c r="A36" s="5">
        <v>34</v>
      </c>
      <c r="B36" s="5">
        <v>261186</v>
      </c>
      <c r="C36" s="7" t="s">
        <v>438</v>
      </c>
      <c r="D36" s="5">
        <v>60672534</v>
      </c>
      <c r="E36" s="5" t="s">
        <v>27</v>
      </c>
      <c r="F36" s="5"/>
      <c r="G36" s="5"/>
      <c r="H36" s="5"/>
      <c r="I36" s="6" t="s">
        <v>659</v>
      </c>
    </row>
    <row r="37" spans="1:9" x14ac:dyDescent="0.25">
      <c r="A37" s="5">
        <v>35</v>
      </c>
      <c r="B37" s="5">
        <v>261197</v>
      </c>
      <c r="C37" s="7" t="s">
        <v>464</v>
      </c>
      <c r="D37" s="5">
        <v>62145826</v>
      </c>
      <c r="E37" s="5" t="s">
        <v>27</v>
      </c>
      <c r="F37" s="5"/>
      <c r="G37" s="5"/>
      <c r="H37" s="5"/>
      <c r="I37" s="6" t="s">
        <v>659</v>
      </c>
    </row>
    <row r="38" spans="1:9" x14ac:dyDescent="0.25">
      <c r="A38" s="5">
        <v>36</v>
      </c>
      <c r="B38" s="5">
        <v>261212</v>
      </c>
      <c r="C38" s="7" t="s">
        <v>493</v>
      </c>
      <c r="D38" s="5">
        <v>61086077</v>
      </c>
      <c r="E38" s="5" t="s">
        <v>27</v>
      </c>
      <c r="F38" s="5"/>
      <c r="G38" s="5"/>
      <c r="H38" s="5"/>
      <c r="I38" s="6" t="s">
        <v>659</v>
      </c>
    </row>
    <row r="39" spans="1:9" x14ac:dyDescent="0.25">
      <c r="A39" s="5">
        <v>37</v>
      </c>
      <c r="B39" s="5">
        <v>261179</v>
      </c>
      <c r="C39" s="7" t="s">
        <v>426</v>
      </c>
      <c r="D39" s="5">
        <v>60677822</v>
      </c>
      <c r="E39" s="5" t="s">
        <v>27</v>
      </c>
      <c r="F39" s="5"/>
      <c r="G39" s="5"/>
      <c r="H39" s="5"/>
      <c r="I39" s="6" t="s">
        <v>659</v>
      </c>
    </row>
    <row r="40" spans="1:9" x14ac:dyDescent="0.25">
      <c r="A40" s="5">
        <v>38</v>
      </c>
      <c r="B40" s="5">
        <v>261178</v>
      </c>
      <c r="C40" s="7" t="s">
        <v>421</v>
      </c>
      <c r="D40" s="5">
        <v>62010307</v>
      </c>
      <c r="E40" s="5" t="s">
        <v>27</v>
      </c>
      <c r="F40" s="5"/>
      <c r="G40" s="5"/>
      <c r="H40" s="5"/>
      <c r="I40" s="6" t="s">
        <v>659</v>
      </c>
    </row>
    <row r="41" spans="1:9" x14ac:dyDescent="0.25">
      <c r="A41" s="5">
        <v>39</v>
      </c>
      <c r="B41" s="5">
        <v>261170</v>
      </c>
      <c r="C41" s="7" t="s">
        <v>404</v>
      </c>
      <c r="D41" s="5">
        <v>61491825</v>
      </c>
      <c r="E41" s="5" t="s">
        <v>27</v>
      </c>
      <c r="F41" s="5"/>
      <c r="G41" s="5"/>
      <c r="H41" s="5"/>
      <c r="I41" s="6" t="s">
        <v>659</v>
      </c>
    </row>
    <row r="42" spans="1:9" x14ac:dyDescent="0.25">
      <c r="A42" s="5">
        <v>40</v>
      </c>
      <c r="B42" s="5">
        <v>261222</v>
      </c>
      <c r="C42" s="7" t="s">
        <v>514</v>
      </c>
      <c r="D42" s="5">
        <v>61443334</v>
      </c>
      <c r="E42" s="5" t="s">
        <v>27</v>
      </c>
      <c r="F42" s="5"/>
      <c r="G42" s="5"/>
      <c r="H42" s="5"/>
      <c r="I42" s="6" t="s">
        <v>659</v>
      </c>
    </row>
    <row r="43" spans="1:9" x14ac:dyDescent="0.25">
      <c r="A43" s="5">
        <v>41</v>
      </c>
      <c r="B43" s="5">
        <v>261033</v>
      </c>
      <c r="C43" s="7" t="s">
        <v>107</v>
      </c>
      <c r="D43" s="5">
        <v>75161247</v>
      </c>
      <c r="E43" s="5" t="s">
        <v>27</v>
      </c>
      <c r="F43" s="5"/>
      <c r="G43" s="5"/>
      <c r="H43" s="5"/>
      <c r="I43" s="6" t="s">
        <v>658</v>
      </c>
    </row>
    <row r="44" spans="1:9" x14ac:dyDescent="0.25">
      <c r="A44" s="5">
        <v>42</v>
      </c>
      <c r="B44" s="5">
        <v>261022</v>
      </c>
      <c r="C44" s="7" t="s">
        <v>82</v>
      </c>
      <c r="D44" s="5">
        <v>62040110</v>
      </c>
      <c r="E44" s="5" t="s">
        <v>27</v>
      </c>
      <c r="F44" s="5"/>
      <c r="G44" s="5"/>
      <c r="H44" s="5"/>
      <c r="I44" s="6" t="s">
        <v>659</v>
      </c>
    </row>
    <row r="45" spans="1:9" x14ac:dyDescent="0.25">
      <c r="A45" s="5">
        <v>43</v>
      </c>
      <c r="B45" s="5">
        <v>261182</v>
      </c>
      <c r="C45" s="7" t="s">
        <v>432</v>
      </c>
      <c r="D45" s="5">
        <v>61964754</v>
      </c>
      <c r="E45" s="5" t="s">
        <v>27</v>
      </c>
      <c r="F45" s="5"/>
      <c r="G45" s="5"/>
      <c r="H45" s="5"/>
      <c r="I45" s="6" t="s">
        <v>659</v>
      </c>
    </row>
    <row r="46" spans="1:9" x14ac:dyDescent="0.25">
      <c r="A46" s="5">
        <v>44</v>
      </c>
      <c r="B46" s="5">
        <v>261097</v>
      </c>
      <c r="C46" s="7" t="s">
        <v>257</v>
      </c>
      <c r="D46" s="5">
        <v>60071771</v>
      </c>
      <c r="E46" s="5" t="s">
        <v>27</v>
      </c>
      <c r="F46" s="5"/>
      <c r="G46" s="5"/>
      <c r="H46" s="5"/>
      <c r="I46" s="6" t="s">
        <v>659</v>
      </c>
    </row>
    <row r="47" spans="1:9" x14ac:dyDescent="0.25">
      <c r="A47" s="5">
        <v>45</v>
      </c>
      <c r="B47" s="5">
        <v>261287</v>
      </c>
      <c r="C47" s="7" t="s">
        <v>640</v>
      </c>
      <c r="D47" s="5">
        <v>61525820</v>
      </c>
      <c r="E47" s="5" t="s">
        <v>27</v>
      </c>
      <c r="F47" s="5"/>
      <c r="G47" s="5"/>
      <c r="H47" s="5"/>
      <c r="I47" s="6" t="s">
        <v>658</v>
      </c>
    </row>
    <row r="48" spans="1:9" x14ac:dyDescent="0.25">
      <c r="A48" s="5">
        <v>46</v>
      </c>
      <c r="B48" s="5">
        <v>261009</v>
      </c>
      <c r="C48" s="7" t="s">
        <v>47</v>
      </c>
      <c r="D48" s="5">
        <v>60210340</v>
      </c>
      <c r="E48" s="5" t="s">
        <v>27</v>
      </c>
      <c r="F48" s="5"/>
      <c r="G48" s="5"/>
      <c r="H48" s="5"/>
      <c r="I48" s="6" t="s">
        <v>658</v>
      </c>
    </row>
    <row r="49" spans="1:9" x14ac:dyDescent="0.25">
      <c r="A49" s="5">
        <v>47</v>
      </c>
      <c r="B49" s="5"/>
      <c r="C49" s="7"/>
      <c r="D49" s="5"/>
      <c r="E49" s="5"/>
      <c r="F49" s="5"/>
      <c r="G49" s="5"/>
      <c r="H49" s="5"/>
      <c r="I49" s="6"/>
    </row>
    <row r="50" spans="1:9" x14ac:dyDescent="0.25">
      <c r="A50" s="5">
        <v>48</v>
      </c>
      <c r="B50" s="5"/>
      <c r="C50" s="7"/>
      <c r="D50" s="5"/>
      <c r="E50" s="5"/>
      <c r="F50" s="5"/>
      <c r="G50" s="5"/>
      <c r="H50" s="5"/>
      <c r="I50" s="6"/>
    </row>
    <row r="51" spans="1:9" x14ac:dyDescent="0.25">
      <c r="A51" s="5">
        <v>49</v>
      </c>
      <c r="B51" s="5"/>
      <c r="C51" s="7"/>
      <c r="D51" s="5"/>
      <c r="E51" s="5"/>
      <c r="F51" s="5"/>
      <c r="G51" s="5"/>
      <c r="H51" s="5"/>
      <c r="I51" s="6"/>
    </row>
    <row r="52" spans="1:9" x14ac:dyDescent="0.25">
      <c r="A52" s="5">
        <v>50</v>
      </c>
      <c r="B52" s="5"/>
      <c r="C52" s="5"/>
      <c r="D52" s="5"/>
      <c r="E52" s="5"/>
      <c r="F52" s="5"/>
      <c r="G52" s="5"/>
      <c r="H52" s="5"/>
      <c r="I52" s="6"/>
    </row>
  </sheetData>
  <autoFilter ref="A1:I51" xr:uid="{EAF1D4CD-4010-4E27-AE86-BC520A9FD7C2}">
    <filterColumn colId="5" showButton="0"/>
    <sortState xmlns:xlrd2="http://schemas.microsoft.com/office/spreadsheetml/2017/richdata2" ref="A4:I52">
      <sortCondition ref="C1:C51"/>
    </sortState>
  </autoFilter>
  <mergeCells count="8">
    <mergeCell ref="H1:H2"/>
    <mergeCell ref="I1:I2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53005-527B-4742-91B1-9C3F45E37A43}">
  <sheetPr codeName="Hoja7"/>
  <dimension ref="A1:I52"/>
  <sheetViews>
    <sheetView topLeftCell="A19" workbookViewId="0">
      <selection activeCell="I34" sqref="I34"/>
    </sheetView>
  </sheetViews>
  <sheetFormatPr baseColWidth="10" defaultRowHeight="15" x14ac:dyDescent="0.25"/>
  <cols>
    <col min="1" max="1" width="4" style="2" bestFit="1" customWidth="1"/>
    <col min="2" max="2" width="8.7109375" style="2" customWidth="1"/>
    <col min="3" max="3" width="50" style="2" bestFit="1" customWidth="1"/>
    <col min="4" max="4" width="10" style="2" bestFit="1" customWidth="1"/>
    <col min="5" max="5" width="18.85546875" style="2" customWidth="1"/>
    <col min="6" max="6" width="6.140625" style="2" customWidth="1"/>
    <col min="7" max="7" width="6.140625" style="2" bestFit="1" customWidth="1"/>
    <col min="8" max="8" width="28.5703125" style="2" customWidth="1"/>
    <col min="9" max="9" width="5.42578125" style="3" customWidth="1"/>
  </cols>
  <sheetData>
    <row r="1" spans="1:9" ht="15" customHeight="1" x14ac:dyDescent="0.25">
      <c r="A1" s="15" t="s">
        <v>649</v>
      </c>
      <c r="B1" s="15" t="s">
        <v>650</v>
      </c>
      <c r="C1" s="15" t="s">
        <v>651</v>
      </c>
      <c r="D1" s="15" t="s">
        <v>0</v>
      </c>
      <c r="E1" s="15" t="s">
        <v>652</v>
      </c>
      <c r="F1" s="17" t="s">
        <v>663</v>
      </c>
      <c r="G1" s="17"/>
      <c r="H1" s="15" t="s">
        <v>656</v>
      </c>
      <c r="I1" s="16" t="s">
        <v>657</v>
      </c>
    </row>
    <row r="2" spans="1:9" ht="15" customHeight="1" x14ac:dyDescent="0.25">
      <c r="A2" s="15"/>
      <c r="B2" s="15"/>
      <c r="C2" s="15"/>
      <c r="D2" s="15"/>
      <c r="E2" s="15"/>
      <c r="F2" s="8" t="s">
        <v>661</v>
      </c>
      <c r="G2" s="8" t="s">
        <v>662</v>
      </c>
      <c r="H2" s="15"/>
      <c r="I2" s="16"/>
    </row>
    <row r="3" spans="1:9" x14ac:dyDescent="0.25">
      <c r="A3" s="5">
        <v>1</v>
      </c>
      <c r="B3" s="5">
        <v>261270</v>
      </c>
      <c r="C3" s="7" t="s">
        <v>604</v>
      </c>
      <c r="D3" s="5">
        <v>60371776</v>
      </c>
      <c r="E3" s="5" t="s">
        <v>113</v>
      </c>
      <c r="F3" s="5"/>
      <c r="G3" s="5"/>
      <c r="H3" s="5"/>
      <c r="I3" s="6" t="s">
        <v>659</v>
      </c>
    </row>
    <row r="4" spans="1:9" x14ac:dyDescent="0.25">
      <c r="A4" s="5">
        <v>2</v>
      </c>
      <c r="B4" s="5">
        <v>261131</v>
      </c>
      <c r="C4" s="7" t="s">
        <v>324</v>
      </c>
      <c r="D4" s="5">
        <v>62041230</v>
      </c>
      <c r="E4" s="5" t="s">
        <v>113</v>
      </c>
      <c r="F4" s="5"/>
      <c r="G4" s="5"/>
      <c r="H4" s="5"/>
      <c r="I4" s="6" t="s">
        <v>659</v>
      </c>
    </row>
    <row r="5" spans="1:9" x14ac:dyDescent="0.25">
      <c r="A5" s="5">
        <v>3</v>
      </c>
      <c r="B5" s="5">
        <v>261213</v>
      </c>
      <c r="C5" s="7" t="s">
        <v>494</v>
      </c>
      <c r="D5" s="5">
        <v>61487124</v>
      </c>
      <c r="E5" s="5" t="s">
        <v>113</v>
      </c>
      <c r="F5" s="5"/>
      <c r="G5" s="5"/>
      <c r="H5" s="5"/>
      <c r="I5" s="6" t="s">
        <v>659</v>
      </c>
    </row>
    <row r="6" spans="1:9" x14ac:dyDescent="0.25">
      <c r="A6" s="5">
        <v>4</v>
      </c>
      <c r="B6" s="5">
        <v>261083</v>
      </c>
      <c r="C6" s="7" t="s">
        <v>230</v>
      </c>
      <c r="D6" s="5">
        <v>61376432</v>
      </c>
      <c r="E6" s="5" t="s">
        <v>113</v>
      </c>
      <c r="F6" s="5"/>
      <c r="G6" s="5"/>
      <c r="H6" s="5"/>
      <c r="I6" s="6" t="s">
        <v>659</v>
      </c>
    </row>
    <row r="7" spans="1:9" x14ac:dyDescent="0.25">
      <c r="A7" s="5">
        <v>5</v>
      </c>
      <c r="B7" s="5">
        <v>261247</v>
      </c>
      <c r="C7" s="7" t="s">
        <v>563</v>
      </c>
      <c r="D7" s="5">
        <v>74944275</v>
      </c>
      <c r="E7" s="5" t="s">
        <v>113</v>
      </c>
      <c r="F7" s="5"/>
      <c r="G7" s="5"/>
      <c r="H7" s="5"/>
      <c r="I7" s="6" t="s">
        <v>659</v>
      </c>
    </row>
    <row r="8" spans="1:9" x14ac:dyDescent="0.25">
      <c r="A8" s="5">
        <v>6</v>
      </c>
      <c r="B8" s="5">
        <v>261264</v>
      </c>
      <c r="C8" s="7" t="s">
        <v>593</v>
      </c>
      <c r="D8" s="5">
        <v>61779500</v>
      </c>
      <c r="E8" s="5" t="s">
        <v>113</v>
      </c>
      <c r="F8" s="5"/>
      <c r="G8" s="5"/>
      <c r="H8" s="5"/>
      <c r="I8" s="6" t="s">
        <v>659</v>
      </c>
    </row>
    <row r="9" spans="1:9" x14ac:dyDescent="0.25">
      <c r="A9" s="5">
        <v>7</v>
      </c>
      <c r="B9" s="5">
        <v>261243</v>
      </c>
      <c r="C9" s="7" t="s">
        <v>554</v>
      </c>
      <c r="D9" s="5">
        <v>74953617</v>
      </c>
      <c r="E9" s="5" t="s">
        <v>113</v>
      </c>
      <c r="F9" s="5"/>
      <c r="G9" s="5"/>
      <c r="H9" s="5"/>
      <c r="I9" s="6" t="s">
        <v>659</v>
      </c>
    </row>
    <row r="10" spans="1:9" x14ac:dyDescent="0.25">
      <c r="A10" s="5">
        <v>8</v>
      </c>
      <c r="B10" s="5">
        <v>261150</v>
      </c>
      <c r="C10" s="7" t="s">
        <v>366</v>
      </c>
      <c r="D10" s="5">
        <v>61487134</v>
      </c>
      <c r="E10" s="5" t="s">
        <v>113</v>
      </c>
      <c r="F10" s="5"/>
      <c r="G10" s="5"/>
      <c r="H10" s="5"/>
      <c r="I10" s="6" t="s">
        <v>659</v>
      </c>
    </row>
    <row r="11" spans="1:9" x14ac:dyDescent="0.25">
      <c r="A11" s="5">
        <v>9</v>
      </c>
      <c r="B11" s="5">
        <v>261230</v>
      </c>
      <c r="C11" s="7" t="s">
        <v>530</v>
      </c>
      <c r="D11" s="5">
        <v>60064968</v>
      </c>
      <c r="E11" s="5" t="s">
        <v>113</v>
      </c>
      <c r="F11" s="5"/>
      <c r="G11" s="5"/>
      <c r="H11" s="5"/>
      <c r="I11" s="6" t="s">
        <v>659</v>
      </c>
    </row>
    <row r="12" spans="1:9" x14ac:dyDescent="0.25">
      <c r="A12" s="5">
        <v>10</v>
      </c>
      <c r="B12" s="5">
        <v>261244</v>
      </c>
      <c r="C12" s="7" t="s">
        <v>556</v>
      </c>
      <c r="D12" s="5">
        <v>72348899</v>
      </c>
      <c r="E12" s="5" t="s">
        <v>113</v>
      </c>
      <c r="F12" s="5"/>
      <c r="G12" s="5"/>
      <c r="H12" s="5"/>
      <c r="I12" s="6" t="s">
        <v>659</v>
      </c>
    </row>
    <row r="13" spans="1:9" x14ac:dyDescent="0.25">
      <c r="A13" s="5">
        <v>11</v>
      </c>
      <c r="B13" s="5">
        <v>261124</v>
      </c>
      <c r="C13" s="7" t="s">
        <v>308</v>
      </c>
      <c r="D13" s="5">
        <v>62733858</v>
      </c>
      <c r="E13" s="5" t="s">
        <v>113</v>
      </c>
      <c r="F13" s="5"/>
      <c r="G13" s="5"/>
      <c r="H13" s="5"/>
      <c r="I13" s="6" t="s">
        <v>658</v>
      </c>
    </row>
    <row r="14" spans="1:9" x14ac:dyDescent="0.25">
      <c r="A14" s="5">
        <v>12</v>
      </c>
      <c r="B14" s="5">
        <v>261137</v>
      </c>
      <c r="C14" s="7" t="s">
        <v>336</v>
      </c>
      <c r="D14" s="5">
        <v>61443548</v>
      </c>
      <c r="E14" s="5" t="s">
        <v>113</v>
      </c>
      <c r="F14" s="5"/>
      <c r="G14" s="5"/>
      <c r="H14" s="5"/>
      <c r="I14" s="6" t="s">
        <v>658</v>
      </c>
    </row>
    <row r="15" spans="1:9" x14ac:dyDescent="0.25">
      <c r="A15" s="5">
        <v>13</v>
      </c>
      <c r="B15" s="5">
        <v>261079</v>
      </c>
      <c r="C15" s="7" t="s">
        <v>221</v>
      </c>
      <c r="D15" s="5">
        <v>61869528</v>
      </c>
      <c r="E15" s="5" t="s">
        <v>113</v>
      </c>
      <c r="F15" s="5"/>
      <c r="G15" s="5"/>
      <c r="H15" s="5"/>
      <c r="I15" s="6" t="s">
        <v>659</v>
      </c>
    </row>
    <row r="16" spans="1:9" x14ac:dyDescent="0.25">
      <c r="A16" s="5">
        <v>14</v>
      </c>
      <c r="B16" s="5">
        <v>261167</v>
      </c>
      <c r="C16" s="7" t="s">
        <v>399</v>
      </c>
      <c r="D16" s="5">
        <v>60661968</v>
      </c>
      <c r="E16" s="5" t="s">
        <v>113</v>
      </c>
      <c r="F16" s="5"/>
      <c r="G16" s="5"/>
      <c r="H16" s="5"/>
      <c r="I16" s="6" t="s">
        <v>659</v>
      </c>
    </row>
    <row r="17" spans="1:9" x14ac:dyDescent="0.25">
      <c r="A17" s="5">
        <v>15</v>
      </c>
      <c r="B17" s="5">
        <v>261229</v>
      </c>
      <c r="C17" s="7" t="s">
        <v>527</v>
      </c>
      <c r="D17" s="5">
        <v>75865850</v>
      </c>
      <c r="E17" s="5" t="s">
        <v>113</v>
      </c>
      <c r="F17" s="5"/>
      <c r="G17" s="5"/>
      <c r="H17" s="5"/>
      <c r="I17" s="6" t="s">
        <v>659</v>
      </c>
    </row>
    <row r="18" spans="1:9" x14ac:dyDescent="0.25">
      <c r="A18" s="5">
        <v>16</v>
      </c>
      <c r="B18" s="5">
        <v>261233</v>
      </c>
      <c r="C18" s="7" t="s">
        <v>538</v>
      </c>
      <c r="D18" s="5">
        <v>62463766</v>
      </c>
      <c r="E18" s="5" t="s">
        <v>113</v>
      </c>
      <c r="F18" s="5"/>
      <c r="G18" s="5"/>
      <c r="H18" s="5"/>
      <c r="I18" s="6" t="s">
        <v>659</v>
      </c>
    </row>
    <row r="19" spans="1:9" x14ac:dyDescent="0.25">
      <c r="A19" s="5">
        <v>17</v>
      </c>
      <c r="B19" s="5">
        <v>261288</v>
      </c>
      <c r="C19" s="7" t="s">
        <v>641</v>
      </c>
      <c r="D19" s="5">
        <v>93822919</v>
      </c>
      <c r="E19" s="5" t="s">
        <v>113</v>
      </c>
      <c r="F19" s="5"/>
      <c r="G19" s="5"/>
      <c r="H19" s="5"/>
      <c r="I19" s="6" t="s">
        <v>659</v>
      </c>
    </row>
    <row r="20" spans="1:9" x14ac:dyDescent="0.25">
      <c r="A20" s="5">
        <v>18</v>
      </c>
      <c r="B20" s="5">
        <v>261209</v>
      </c>
      <c r="C20" s="7" t="s">
        <v>487</v>
      </c>
      <c r="D20" s="5">
        <v>73558337</v>
      </c>
      <c r="E20" s="5" t="s">
        <v>113</v>
      </c>
      <c r="F20" s="5"/>
      <c r="G20" s="5"/>
      <c r="H20" s="5"/>
      <c r="I20" s="6" t="s">
        <v>659</v>
      </c>
    </row>
    <row r="21" spans="1:9" x14ac:dyDescent="0.25">
      <c r="A21" s="5">
        <v>19</v>
      </c>
      <c r="B21" s="5">
        <v>261214</v>
      </c>
      <c r="C21" s="7" t="s">
        <v>496</v>
      </c>
      <c r="D21" s="5">
        <v>70740312</v>
      </c>
      <c r="E21" s="5" t="s">
        <v>113</v>
      </c>
      <c r="F21" s="5"/>
      <c r="G21" s="5"/>
      <c r="H21" s="5"/>
      <c r="I21" s="6" t="s">
        <v>658</v>
      </c>
    </row>
    <row r="22" spans="1:9" x14ac:dyDescent="0.25">
      <c r="A22" s="5">
        <v>20</v>
      </c>
      <c r="B22" s="5">
        <v>261208</v>
      </c>
      <c r="C22" s="7" t="s">
        <v>485</v>
      </c>
      <c r="D22" s="5">
        <v>61658978</v>
      </c>
      <c r="E22" s="5" t="s">
        <v>113</v>
      </c>
      <c r="F22" s="5"/>
      <c r="G22" s="5"/>
      <c r="H22" s="5"/>
      <c r="I22" s="6" t="s">
        <v>659</v>
      </c>
    </row>
    <row r="23" spans="1:9" x14ac:dyDescent="0.25">
      <c r="A23" s="5">
        <v>21</v>
      </c>
      <c r="B23" s="5">
        <v>261211</v>
      </c>
      <c r="C23" s="7" t="s">
        <v>491</v>
      </c>
      <c r="D23" s="5">
        <v>61869477</v>
      </c>
      <c r="E23" s="5" t="s">
        <v>113</v>
      </c>
      <c r="F23" s="5"/>
      <c r="G23" s="5"/>
      <c r="H23" s="5"/>
      <c r="I23" s="6" t="s">
        <v>659</v>
      </c>
    </row>
    <row r="24" spans="1:9" x14ac:dyDescent="0.25">
      <c r="A24" s="5">
        <v>22</v>
      </c>
      <c r="B24" s="5">
        <v>261035</v>
      </c>
      <c r="C24" s="7" t="s">
        <v>112</v>
      </c>
      <c r="D24" s="5">
        <v>60404257</v>
      </c>
      <c r="E24" s="5" t="s">
        <v>113</v>
      </c>
      <c r="F24" s="5"/>
      <c r="G24" s="5"/>
      <c r="H24" s="5"/>
      <c r="I24" s="6" t="s">
        <v>659</v>
      </c>
    </row>
    <row r="25" spans="1:9" x14ac:dyDescent="0.25">
      <c r="A25" s="5">
        <v>23</v>
      </c>
      <c r="B25" s="5">
        <v>261160</v>
      </c>
      <c r="C25" s="7" t="s">
        <v>384</v>
      </c>
      <c r="D25" s="5">
        <v>62051772</v>
      </c>
      <c r="E25" s="5" t="s">
        <v>113</v>
      </c>
      <c r="F25" s="5"/>
      <c r="G25" s="5"/>
      <c r="H25" s="5"/>
      <c r="I25" s="6" t="s">
        <v>659</v>
      </c>
    </row>
    <row r="26" spans="1:9" x14ac:dyDescent="0.25">
      <c r="A26" s="5">
        <v>24</v>
      </c>
      <c r="B26" s="5">
        <v>261292</v>
      </c>
      <c r="C26" s="7" t="s">
        <v>648</v>
      </c>
      <c r="D26" s="5">
        <v>61200065</v>
      </c>
      <c r="E26" s="5" t="s">
        <v>113</v>
      </c>
      <c r="F26" s="5"/>
      <c r="G26" s="5"/>
      <c r="H26" s="5"/>
      <c r="I26" s="6" t="s">
        <v>658</v>
      </c>
    </row>
    <row r="27" spans="1:9" x14ac:dyDescent="0.25">
      <c r="A27" s="5">
        <v>25</v>
      </c>
      <c r="B27" s="5">
        <v>261210</v>
      </c>
      <c r="C27" s="7" t="s">
        <v>489</v>
      </c>
      <c r="D27" s="5">
        <v>61992217</v>
      </c>
      <c r="E27" s="5" t="s">
        <v>113</v>
      </c>
      <c r="F27" s="5"/>
      <c r="G27" s="5"/>
      <c r="H27" s="5"/>
      <c r="I27" s="6" t="s">
        <v>659</v>
      </c>
    </row>
    <row r="28" spans="1:9" x14ac:dyDescent="0.25">
      <c r="A28" s="5">
        <v>26</v>
      </c>
      <c r="B28" s="5">
        <v>261227</v>
      </c>
      <c r="C28" s="7" t="s">
        <v>524</v>
      </c>
      <c r="D28" s="5">
        <v>62588800</v>
      </c>
      <c r="E28" s="5" t="s">
        <v>113</v>
      </c>
      <c r="F28" s="5"/>
      <c r="G28" s="5"/>
      <c r="H28" s="5"/>
      <c r="I28" s="6" t="s">
        <v>659</v>
      </c>
    </row>
    <row r="29" spans="1:9" x14ac:dyDescent="0.25">
      <c r="A29" s="5">
        <v>27</v>
      </c>
      <c r="B29" s="5">
        <v>261290</v>
      </c>
      <c r="C29" s="7" t="s">
        <v>645</v>
      </c>
      <c r="D29" s="5">
        <v>62041295</v>
      </c>
      <c r="E29" s="5" t="s">
        <v>113</v>
      </c>
      <c r="F29" s="5"/>
      <c r="G29" s="5"/>
      <c r="H29" s="5"/>
      <c r="I29" s="6" t="s">
        <v>659</v>
      </c>
    </row>
    <row r="30" spans="1:9" x14ac:dyDescent="0.25">
      <c r="A30" s="5">
        <v>28</v>
      </c>
      <c r="B30" s="5">
        <v>261204</v>
      </c>
      <c r="C30" s="7" t="s">
        <v>474</v>
      </c>
      <c r="D30" s="5">
        <v>60330154</v>
      </c>
      <c r="E30" s="5" t="s">
        <v>113</v>
      </c>
      <c r="F30" s="5"/>
      <c r="G30" s="5"/>
      <c r="H30" s="5"/>
      <c r="I30" s="6" t="s">
        <v>659</v>
      </c>
    </row>
    <row r="31" spans="1:9" x14ac:dyDescent="0.25">
      <c r="A31" s="5">
        <v>29</v>
      </c>
      <c r="B31" s="5">
        <v>261261</v>
      </c>
      <c r="C31" s="7" t="s">
        <v>589</v>
      </c>
      <c r="D31" s="5">
        <v>62051905</v>
      </c>
      <c r="E31" s="5" t="s">
        <v>113</v>
      </c>
      <c r="F31" s="5"/>
      <c r="G31" s="5"/>
      <c r="H31" s="5"/>
      <c r="I31" s="6" t="s">
        <v>659</v>
      </c>
    </row>
    <row r="32" spans="1:9" x14ac:dyDescent="0.25">
      <c r="A32" s="5">
        <v>30</v>
      </c>
      <c r="B32" s="5">
        <v>261283</v>
      </c>
      <c r="C32" s="7" t="s">
        <v>632</v>
      </c>
      <c r="D32" s="5">
        <v>61518710</v>
      </c>
      <c r="E32" s="5" t="s">
        <v>113</v>
      </c>
      <c r="F32" s="5"/>
      <c r="G32" s="5"/>
      <c r="H32" s="5"/>
      <c r="I32" s="6" t="s">
        <v>658</v>
      </c>
    </row>
    <row r="33" spans="1:9" x14ac:dyDescent="0.25">
      <c r="A33" s="5">
        <v>31</v>
      </c>
      <c r="B33" s="5">
        <v>261045</v>
      </c>
      <c r="C33" s="7" t="s">
        <v>137</v>
      </c>
      <c r="D33" s="5">
        <v>61376532</v>
      </c>
      <c r="E33" s="5" t="s">
        <v>113</v>
      </c>
      <c r="F33" s="5"/>
      <c r="G33" s="5"/>
      <c r="H33" s="5"/>
      <c r="I33" s="6" t="s">
        <v>659</v>
      </c>
    </row>
    <row r="34" spans="1:9" x14ac:dyDescent="0.25">
      <c r="A34" s="5">
        <v>32</v>
      </c>
      <c r="B34" s="5">
        <v>261258</v>
      </c>
      <c r="C34" s="7" t="s">
        <v>583</v>
      </c>
      <c r="D34" s="5">
        <v>61347571</v>
      </c>
      <c r="E34" s="5" t="s">
        <v>113</v>
      </c>
      <c r="F34" s="5"/>
      <c r="G34" s="5"/>
      <c r="H34" s="5"/>
      <c r="I34" s="6" t="s">
        <v>658</v>
      </c>
    </row>
    <row r="35" spans="1:9" x14ac:dyDescent="0.25">
      <c r="A35" s="5">
        <v>33</v>
      </c>
      <c r="B35" s="5">
        <v>261052</v>
      </c>
      <c r="C35" s="7" t="s">
        <v>155</v>
      </c>
      <c r="D35" s="5">
        <v>61428706</v>
      </c>
      <c r="E35" s="5" t="s">
        <v>113</v>
      </c>
      <c r="F35" s="5"/>
      <c r="G35" s="5"/>
      <c r="H35" s="5"/>
      <c r="I35" s="6" t="s">
        <v>659</v>
      </c>
    </row>
    <row r="36" spans="1:9" x14ac:dyDescent="0.25">
      <c r="A36" s="5">
        <v>34</v>
      </c>
      <c r="B36" s="5">
        <v>261203</v>
      </c>
      <c r="C36" s="7" t="s">
        <v>472</v>
      </c>
      <c r="D36" s="5">
        <v>61309369</v>
      </c>
      <c r="E36" s="5" t="s">
        <v>113</v>
      </c>
      <c r="F36" s="5"/>
      <c r="G36" s="5"/>
      <c r="H36" s="5"/>
      <c r="I36" s="6" t="s">
        <v>659</v>
      </c>
    </row>
    <row r="37" spans="1:9" x14ac:dyDescent="0.25">
      <c r="A37" s="5">
        <v>35</v>
      </c>
      <c r="B37" s="5">
        <v>261228</v>
      </c>
      <c r="C37" s="7" t="s">
        <v>526</v>
      </c>
      <c r="D37" s="5">
        <v>62528828</v>
      </c>
      <c r="E37" s="5" t="s">
        <v>113</v>
      </c>
      <c r="F37" s="5"/>
      <c r="G37" s="5"/>
      <c r="H37" s="5"/>
      <c r="I37" s="6" t="s">
        <v>659</v>
      </c>
    </row>
    <row r="38" spans="1:9" x14ac:dyDescent="0.25">
      <c r="A38" s="5">
        <v>36</v>
      </c>
      <c r="B38" s="5">
        <v>261215</v>
      </c>
      <c r="C38" s="7" t="s">
        <v>499</v>
      </c>
      <c r="D38" s="5">
        <v>62528827</v>
      </c>
      <c r="E38" s="5" t="s">
        <v>113</v>
      </c>
      <c r="F38" s="5"/>
      <c r="G38" s="5"/>
      <c r="H38" s="5"/>
      <c r="I38" s="6" t="s">
        <v>659</v>
      </c>
    </row>
    <row r="39" spans="1:9" x14ac:dyDescent="0.25">
      <c r="A39" s="5">
        <v>37</v>
      </c>
      <c r="B39" s="5">
        <v>261221</v>
      </c>
      <c r="C39" s="7" t="s">
        <v>511</v>
      </c>
      <c r="D39" s="5">
        <v>61517695</v>
      </c>
      <c r="E39" s="5" t="s">
        <v>113</v>
      </c>
      <c r="F39" s="5"/>
      <c r="G39" s="5"/>
      <c r="H39" s="5"/>
      <c r="I39" s="6" t="s">
        <v>659</v>
      </c>
    </row>
    <row r="40" spans="1:9" x14ac:dyDescent="0.25">
      <c r="A40" s="5">
        <v>38</v>
      </c>
      <c r="B40" s="5">
        <v>261231</v>
      </c>
      <c r="C40" s="7" t="s">
        <v>534</v>
      </c>
      <c r="D40" s="5">
        <v>62576621</v>
      </c>
      <c r="E40" s="5" t="s">
        <v>113</v>
      </c>
      <c r="F40" s="5"/>
      <c r="G40" s="5"/>
      <c r="H40" s="5"/>
      <c r="I40" s="6" t="s">
        <v>659</v>
      </c>
    </row>
    <row r="41" spans="1:9" x14ac:dyDescent="0.25">
      <c r="A41" s="5">
        <v>39</v>
      </c>
      <c r="B41" s="5">
        <v>261036</v>
      </c>
      <c r="C41" s="7" t="s">
        <v>118</v>
      </c>
      <c r="D41" s="5">
        <v>61992527</v>
      </c>
      <c r="E41" s="5" t="s">
        <v>113</v>
      </c>
      <c r="F41" s="5"/>
      <c r="G41" s="5"/>
      <c r="H41" s="5"/>
      <c r="I41" s="6" t="s">
        <v>659</v>
      </c>
    </row>
    <row r="42" spans="1:9" x14ac:dyDescent="0.25">
      <c r="A42" s="5">
        <v>40</v>
      </c>
      <c r="B42" s="5">
        <v>261218</v>
      </c>
      <c r="C42" s="7" t="s">
        <v>505</v>
      </c>
      <c r="D42" s="5">
        <v>62529060</v>
      </c>
      <c r="E42" s="5" t="s">
        <v>113</v>
      </c>
      <c r="F42" s="5"/>
      <c r="G42" s="5"/>
      <c r="H42" s="5"/>
      <c r="I42" s="6" t="s">
        <v>659</v>
      </c>
    </row>
    <row r="43" spans="1:9" x14ac:dyDescent="0.25">
      <c r="A43" s="5">
        <v>41</v>
      </c>
      <c r="B43" s="5">
        <v>261088</v>
      </c>
      <c r="C43" s="7" t="s">
        <v>239</v>
      </c>
      <c r="D43" s="5">
        <v>70785723</v>
      </c>
      <c r="E43" s="5" t="s">
        <v>113</v>
      </c>
      <c r="F43" s="5"/>
      <c r="G43" s="5"/>
      <c r="H43" s="5"/>
      <c r="I43" s="6" t="s">
        <v>659</v>
      </c>
    </row>
    <row r="44" spans="1:9" x14ac:dyDescent="0.25">
      <c r="A44" s="5">
        <v>42</v>
      </c>
      <c r="B44" s="5">
        <v>261251</v>
      </c>
      <c r="C44" s="7" t="s">
        <v>571</v>
      </c>
      <c r="D44" s="5">
        <v>61376424</v>
      </c>
      <c r="E44" s="5" t="s">
        <v>113</v>
      </c>
      <c r="F44" s="5"/>
      <c r="G44" s="5"/>
      <c r="H44" s="5"/>
      <c r="I44" s="6" t="s">
        <v>659</v>
      </c>
    </row>
    <row r="45" spans="1:9" x14ac:dyDescent="0.25">
      <c r="A45" s="5">
        <v>43</v>
      </c>
      <c r="B45" s="5">
        <v>261081</v>
      </c>
      <c r="C45" s="7" t="s">
        <v>225</v>
      </c>
      <c r="D45" s="5">
        <v>61032945</v>
      </c>
      <c r="E45" s="5" t="s">
        <v>113</v>
      </c>
      <c r="F45" s="5"/>
      <c r="G45" s="5"/>
      <c r="H45" s="5"/>
      <c r="I45" s="6" t="s">
        <v>659</v>
      </c>
    </row>
    <row r="46" spans="1:9" x14ac:dyDescent="0.25">
      <c r="A46" s="5">
        <v>44</v>
      </c>
      <c r="B46" s="5">
        <v>261286</v>
      </c>
      <c r="C46" s="7" t="s">
        <v>638</v>
      </c>
      <c r="D46" s="5">
        <v>61779595</v>
      </c>
      <c r="E46" s="5" t="s">
        <v>113</v>
      </c>
      <c r="F46" s="5"/>
      <c r="G46" s="5"/>
      <c r="H46" s="5"/>
      <c r="I46" s="6" t="s">
        <v>659</v>
      </c>
    </row>
    <row r="47" spans="1:9" x14ac:dyDescent="0.25">
      <c r="A47" s="5">
        <v>45</v>
      </c>
      <c r="B47" s="5">
        <v>261041</v>
      </c>
      <c r="C47" s="7" t="s">
        <v>129</v>
      </c>
      <c r="D47" s="5">
        <v>61991942</v>
      </c>
      <c r="E47" s="5" t="s">
        <v>113</v>
      </c>
      <c r="F47" s="5"/>
      <c r="G47" s="5"/>
      <c r="H47" s="5"/>
      <c r="I47" s="6" t="s">
        <v>659</v>
      </c>
    </row>
    <row r="48" spans="1:9" x14ac:dyDescent="0.25">
      <c r="A48" s="5">
        <v>46</v>
      </c>
      <c r="B48" s="5"/>
      <c r="C48" s="7"/>
      <c r="D48" s="5"/>
      <c r="E48" s="5"/>
      <c r="F48" s="5"/>
      <c r="G48" s="5"/>
      <c r="H48" s="5"/>
      <c r="I48" s="6"/>
    </row>
    <row r="49" spans="1:9" x14ac:dyDescent="0.25">
      <c r="A49" s="5">
        <v>47</v>
      </c>
      <c r="B49" s="5"/>
      <c r="C49" s="7"/>
      <c r="D49" s="5"/>
      <c r="E49" s="5"/>
      <c r="F49" s="5"/>
      <c r="G49" s="5"/>
      <c r="H49" s="5"/>
      <c r="I49" s="6"/>
    </row>
    <row r="50" spans="1:9" x14ac:dyDescent="0.25">
      <c r="A50" s="5">
        <v>48</v>
      </c>
      <c r="B50" s="5"/>
      <c r="C50" s="7"/>
      <c r="D50" s="5"/>
      <c r="E50" s="5"/>
      <c r="F50" s="5"/>
      <c r="G50" s="5"/>
      <c r="H50" s="5"/>
      <c r="I50" s="6"/>
    </row>
    <row r="51" spans="1:9" x14ac:dyDescent="0.25">
      <c r="A51" s="5">
        <v>49</v>
      </c>
      <c r="B51" s="5"/>
      <c r="C51" s="7"/>
      <c r="D51" s="5"/>
      <c r="E51" s="5"/>
      <c r="F51" s="5"/>
      <c r="G51" s="5"/>
      <c r="H51" s="5"/>
      <c r="I51" s="6"/>
    </row>
    <row r="52" spans="1:9" x14ac:dyDescent="0.25">
      <c r="A52" s="5">
        <v>50</v>
      </c>
      <c r="B52" s="5"/>
      <c r="C52" s="5"/>
      <c r="D52" s="5"/>
      <c r="E52" s="5"/>
      <c r="F52" s="5"/>
      <c r="G52" s="5"/>
      <c r="H52" s="5"/>
      <c r="I52" s="6"/>
    </row>
  </sheetData>
  <autoFilter ref="A1:I51" xr:uid="{EAF1D4CD-4010-4E27-AE86-BC520A9FD7C2}">
    <filterColumn colId="5" showButton="0"/>
    <sortState xmlns:xlrd2="http://schemas.microsoft.com/office/spreadsheetml/2017/richdata2" ref="A4:I52">
      <sortCondition ref="C1:C51"/>
    </sortState>
  </autoFilter>
  <mergeCells count="8">
    <mergeCell ref="H1:H2"/>
    <mergeCell ref="I1:I2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Compendios Pagos</vt:lpstr>
      <vt:lpstr>A001 - MAÑANA</vt:lpstr>
      <vt:lpstr>A004 - MAÑANA</vt:lpstr>
      <vt:lpstr>A005 - MAÑANA</vt:lpstr>
      <vt:lpstr>A008 - MAÑANA</vt:lpstr>
      <vt:lpstr>A001 - TARDE</vt:lpstr>
      <vt:lpstr>A004 - TARDE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Centro de Idiomas - UNDC</cp:lastModifiedBy>
  <dcterms:created xsi:type="dcterms:W3CDTF">2026-04-17T14:58:15Z</dcterms:created>
  <dcterms:modified xsi:type="dcterms:W3CDTF">2026-04-22T14:06:23Z</dcterms:modified>
  <cp:category/>
</cp:coreProperties>
</file>